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rec\PhpstormProjects\Growcom\Excel\"/>
    </mc:Choice>
  </mc:AlternateContent>
  <xr:revisionPtr revIDLastSave="0" documentId="8_{3828104B-1394-4EEA-8DB2-7E29ACEC73C1}" xr6:coauthVersionLast="47" xr6:coauthVersionMax="47" xr10:uidLastSave="{00000000-0000-0000-0000-000000000000}"/>
  <bookViews>
    <workbookView xWindow="-120" yWindow="-120" windowWidth="29040" windowHeight="15720" xr2:uid="{63A53BD0-0C96-411C-B040-4AA81CE3616A}"/>
  </bookViews>
  <sheets>
    <sheet name="Grundeinstellung" sheetId="1" r:id="rId1"/>
    <sheet name="opt_dropdown" sheetId="9" r:id="rId2"/>
    <sheet name="Tagebuch" sheetId="3" r:id="rId3"/>
    <sheet name="SortenTabelle" sheetId="5" r:id="rId4"/>
    <sheet name="Substrate_tabelle" sheetId="7" r:id="rId5"/>
    <sheet name="DuengerTabelle" sheetId="6" r:id="rId6"/>
  </sheets>
  <definedNames>
    <definedName name="anfangs_datum">Grundeinstellung!$B$16</definedName>
    <definedName name="bluete_verschieben_tage">Grundeinstellung!$B$22</definedName>
    <definedName name="carbonathaerte">Grundeinstellung!$B$24</definedName>
    <definedName name="carbonathaerte_options">Tabelle4[Carbonathärte]</definedName>
    <definedName name="datum_bluete_ende">Grundeinstellung!$B$35</definedName>
    <definedName name="datum_bluete_max">Grundeinstellung!$B$37</definedName>
    <definedName name="datum_bluete_min">Grundeinstellung!$B$35</definedName>
    <definedName name="datum_ernte_tag">Grundeinstellung!$B$38</definedName>
    <definedName name="datum_lollipopping">Grundeinstellung!$B$41</definedName>
    <definedName name="datum_only_water_begin">Grundeinstellung!$B$36</definedName>
    <definedName name="datum_vegitations_ende">Grundeinstellung!$B$34</definedName>
    <definedName name="_xlnm.Print_Titles" localSheetId="2">Tagebuch!$9:$10</definedName>
    <definedName name="ExterneDaten_1" localSheetId="5" hidden="1">DuengerTabelle!$A$1:$AM$231</definedName>
    <definedName name="ExterneDaten_1" localSheetId="3" hidden="1">SortenTabelle!$A$1:$U$207</definedName>
    <definedName name="ExterneDaten_2" localSheetId="4" hidden="1">Substrate_tabelle!$A$1:$AJ$34</definedName>
    <definedName name="maximal_ppfd">Grundeinstellung!$B$32</definedName>
    <definedName name="sorten_hersteller">Grundeinstellung!$B$6</definedName>
    <definedName name="sorten_name">Grundeinstellung!$B$5</definedName>
    <definedName name="substrat">Grundeinstellung!$B$23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C34" i="1"/>
  <c r="B8" i="1"/>
  <c r="C35" i="1" s="1"/>
  <c r="C37" i="1" s="1"/>
  <c r="C38" i="1" s="1"/>
  <c r="C36" i="1" l="1"/>
  <c r="B49" i="1"/>
  <c r="B54" i="1" s="1"/>
  <c r="B48" i="1"/>
  <c r="B53" i="1" s="1"/>
  <c r="B47" i="1"/>
  <c r="B52" i="1" s="1"/>
  <c r="B46" i="1"/>
  <c r="B51" i="1" s="1"/>
  <c r="D4" i="3"/>
  <c r="D5" i="3"/>
  <c r="D2" i="3"/>
  <c r="B64" i="1"/>
  <c r="B13" i="1"/>
  <c r="B58" i="1"/>
  <c r="B12" i="1"/>
  <c r="B70" i="1" s="1"/>
  <c r="B10" i="1"/>
  <c r="B33" i="1"/>
  <c r="B35" i="1" s="1"/>
  <c r="B9" i="1"/>
  <c r="B57" i="1" s="1"/>
  <c r="B7" i="1"/>
  <c r="B6" i="1"/>
  <c r="D3" i="3" l="1"/>
  <c r="B9" i="3"/>
  <c r="B36" i="1"/>
  <c r="B37" i="1"/>
  <c r="B34" i="1"/>
  <c r="B38" i="1"/>
  <c r="B59" i="1"/>
  <c r="B60" i="1" s="1"/>
  <c r="B65" i="1"/>
  <c r="B41" i="1"/>
  <c r="B61" i="1" l="1"/>
  <c r="B63" i="1" s="1"/>
  <c r="C11" i="3"/>
  <c r="G11" i="3" s="1" a="1"/>
  <c r="G11" i="3" s="1"/>
  <c r="C148" i="3" l="1"/>
  <c r="Q148" i="3" s="1"/>
  <c r="Q11" i="3"/>
  <c r="C46" i="3"/>
  <c r="Q46" i="3" s="1"/>
  <c r="C78" i="3"/>
  <c r="Q78" i="3" s="1"/>
  <c r="C110" i="3"/>
  <c r="Q110" i="3" s="1"/>
  <c r="C121" i="3"/>
  <c r="Q121" i="3" s="1"/>
  <c r="C137" i="3"/>
  <c r="Q137" i="3" s="1"/>
  <c r="C21" i="3"/>
  <c r="C26" i="3"/>
  <c r="C37" i="3"/>
  <c r="Q37" i="3" s="1"/>
  <c r="C42" i="3"/>
  <c r="Q42" i="3" s="1"/>
  <c r="C53" i="3"/>
  <c r="Q53" i="3" s="1"/>
  <c r="C58" i="3"/>
  <c r="Q58" i="3" s="1"/>
  <c r="C69" i="3"/>
  <c r="Q69" i="3" s="1"/>
  <c r="C74" i="3"/>
  <c r="Q74" i="3" s="1"/>
  <c r="C85" i="3"/>
  <c r="Q85" i="3" s="1"/>
  <c r="C90" i="3"/>
  <c r="Q90" i="3" s="1"/>
  <c r="C101" i="3"/>
  <c r="Q101" i="3" s="1"/>
  <c r="C106" i="3"/>
  <c r="Q106" i="3" s="1"/>
  <c r="C117" i="3"/>
  <c r="Q117" i="3" s="1"/>
  <c r="C122" i="3"/>
  <c r="Q122" i="3" s="1"/>
  <c r="C133" i="3"/>
  <c r="Q133" i="3" s="1"/>
  <c r="C138" i="3"/>
  <c r="Q138" i="3" s="1"/>
  <c r="C149" i="3"/>
  <c r="Q149" i="3" s="1"/>
  <c r="C17" i="3"/>
  <c r="C22" i="3"/>
  <c r="C33" i="3"/>
  <c r="Q33" i="3" s="1"/>
  <c r="C38" i="3"/>
  <c r="Q38" i="3" s="1"/>
  <c r="C49" i="3"/>
  <c r="Q49" i="3" s="1"/>
  <c r="C54" i="3"/>
  <c r="Q54" i="3" s="1"/>
  <c r="C65" i="3"/>
  <c r="Q65" i="3" s="1"/>
  <c r="C70" i="3"/>
  <c r="Q70" i="3" s="1"/>
  <c r="C81" i="3"/>
  <c r="Q81" i="3" s="1"/>
  <c r="C86" i="3"/>
  <c r="Q86" i="3" s="1"/>
  <c r="C97" i="3"/>
  <c r="Q97" i="3" s="1"/>
  <c r="C102" i="3"/>
  <c r="Q102" i="3" s="1"/>
  <c r="C113" i="3"/>
  <c r="Q113" i="3" s="1"/>
  <c r="C118" i="3"/>
  <c r="Q118" i="3" s="1"/>
  <c r="C129" i="3"/>
  <c r="Q129" i="3" s="1"/>
  <c r="C134" i="3"/>
  <c r="Q134" i="3" s="1"/>
  <c r="C145" i="3"/>
  <c r="Q145" i="3" s="1"/>
  <c r="C150" i="3"/>
  <c r="Q150" i="3" s="1"/>
  <c r="C13" i="3"/>
  <c r="C18" i="3"/>
  <c r="C29" i="3"/>
  <c r="C34" i="3"/>
  <c r="Q34" i="3" s="1"/>
  <c r="C45" i="3"/>
  <c r="Q45" i="3" s="1"/>
  <c r="C50" i="3"/>
  <c r="Q50" i="3" s="1"/>
  <c r="C61" i="3"/>
  <c r="Q61" i="3" s="1"/>
  <c r="C66" i="3"/>
  <c r="Q66" i="3" s="1"/>
  <c r="C77" i="3"/>
  <c r="Q77" i="3" s="1"/>
  <c r="C82" i="3"/>
  <c r="Q82" i="3" s="1"/>
  <c r="C93" i="3"/>
  <c r="Q93" i="3" s="1"/>
  <c r="C98" i="3"/>
  <c r="Q98" i="3" s="1"/>
  <c r="C109" i="3"/>
  <c r="Q109" i="3" s="1"/>
  <c r="C114" i="3"/>
  <c r="Q114" i="3" s="1"/>
  <c r="C125" i="3"/>
  <c r="Q125" i="3" s="1"/>
  <c r="C130" i="3"/>
  <c r="Q130" i="3" s="1"/>
  <c r="C141" i="3"/>
  <c r="Q141" i="3" s="1"/>
  <c r="C146" i="3"/>
  <c r="Q146" i="3" s="1"/>
  <c r="C41" i="3"/>
  <c r="Q41" i="3" s="1"/>
  <c r="C57" i="3"/>
  <c r="Q57" i="3" s="1"/>
  <c r="C73" i="3"/>
  <c r="Q73" i="3" s="1"/>
  <c r="C105" i="3"/>
  <c r="Q105" i="3" s="1"/>
  <c r="C14" i="3"/>
  <c r="C25" i="3"/>
  <c r="C30" i="3"/>
  <c r="C62" i="3"/>
  <c r="Q62" i="3" s="1"/>
  <c r="C89" i="3"/>
  <c r="Q89" i="3" s="1"/>
  <c r="C94" i="3"/>
  <c r="Q94" i="3" s="1"/>
  <c r="C126" i="3"/>
  <c r="Q126" i="3" s="1"/>
  <c r="C142" i="3"/>
  <c r="Q142" i="3" s="1"/>
  <c r="C15" i="3"/>
  <c r="C19" i="3"/>
  <c r="C23" i="3"/>
  <c r="C27" i="3"/>
  <c r="C31" i="3"/>
  <c r="C35" i="3"/>
  <c r="Q35" i="3" s="1"/>
  <c r="C39" i="3"/>
  <c r="Q39" i="3" s="1"/>
  <c r="C43" i="3"/>
  <c r="Q43" i="3" s="1"/>
  <c r="C47" i="3"/>
  <c r="Q47" i="3" s="1"/>
  <c r="C51" i="3"/>
  <c r="Q51" i="3" s="1"/>
  <c r="C55" i="3"/>
  <c r="Q55" i="3" s="1"/>
  <c r="C59" i="3"/>
  <c r="Q59" i="3" s="1"/>
  <c r="C63" i="3"/>
  <c r="Q63" i="3" s="1"/>
  <c r="C67" i="3"/>
  <c r="Q67" i="3" s="1"/>
  <c r="C71" i="3"/>
  <c r="Q71" i="3" s="1"/>
  <c r="C75" i="3"/>
  <c r="Q75" i="3" s="1"/>
  <c r="C79" i="3"/>
  <c r="Q79" i="3" s="1"/>
  <c r="C83" i="3"/>
  <c r="Q83" i="3" s="1"/>
  <c r="C87" i="3"/>
  <c r="Q87" i="3" s="1"/>
  <c r="C91" i="3"/>
  <c r="Q91" i="3" s="1"/>
  <c r="C95" i="3"/>
  <c r="Q95" i="3" s="1"/>
  <c r="C99" i="3"/>
  <c r="Q99" i="3" s="1"/>
  <c r="C103" i="3"/>
  <c r="Q103" i="3" s="1"/>
  <c r="C107" i="3"/>
  <c r="Q107" i="3" s="1"/>
  <c r="C111" i="3"/>
  <c r="Q111" i="3" s="1"/>
  <c r="C115" i="3"/>
  <c r="Q115" i="3" s="1"/>
  <c r="C119" i="3"/>
  <c r="Q119" i="3" s="1"/>
  <c r="C123" i="3"/>
  <c r="Q123" i="3" s="1"/>
  <c r="C127" i="3"/>
  <c r="Q127" i="3" s="1"/>
  <c r="C131" i="3"/>
  <c r="Q131" i="3" s="1"/>
  <c r="C135" i="3"/>
  <c r="Q135" i="3" s="1"/>
  <c r="C139" i="3"/>
  <c r="Q139" i="3" s="1"/>
  <c r="C143" i="3"/>
  <c r="Q143" i="3" s="1"/>
  <c r="C147" i="3"/>
  <c r="Q147" i="3" s="1"/>
  <c r="C12" i="3"/>
  <c r="C16" i="3"/>
  <c r="C20" i="3"/>
  <c r="C24" i="3"/>
  <c r="C28" i="3"/>
  <c r="C32" i="3"/>
  <c r="Q32" i="3" s="1"/>
  <c r="C36" i="3"/>
  <c r="Q36" i="3" s="1"/>
  <c r="C40" i="3"/>
  <c r="Q40" i="3" s="1"/>
  <c r="C44" i="3"/>
  <c r="Q44" i="3" s="1"/>
  <c r="C48" i="3"/>
  <c r="Q48" i="3" s="1"/>
  <c r="C52" i="3"/>
  <c r="Q52" i="3" s="1"/>
  <c r="C56" i="3"/>
  <c r="Q56" i="3" s="1"/>
  <c r="C60" i="3"/>
  <c r="Q60" i="3" s="1"/>
  <c r="C64" i="3"/>
  <c r="Q64" i="3" s="1"/>
  <c r="C68" i="3"/>
  <c r="Q68" i="3" s="1"/>
  <c r="C72" i="3"/>
  <c r="Q72" i="3" s="1"/>
  <c r="C76" i="3"/>
  <c r="Q76" i="3" s="1"/>
  <c r="C80" i="3"/>
  <c r="Q80" i="3" s="1"/>
  <c r="C84" i="3"/>
  <c r="Q84" i="3" s="1"/>
  <c r="C88" i="3"/>
  <c r="Q88" i="3" s="1"/>
  <c r="C92" i="3"/>
  <c r="Q92" i="3" s="1"/>
  <c r="C96" i="3"/>
  <c r="Q96" i="3" s="1"/>
  <c r="C100" i="3"/>
  <c r="Q100" i="3" s="1"/>
  <c r="C104" i="3"/>
  <c r="Q104" i="3" s="1"/>
  <c r="C108" i="3"/>
  <c r="Q108" i="3" s="1"/>
  <c r="C112" i="3"/>
  <c r="Q112" i="3" s="1"/>
  <c r="C116" i="3"/>
  <c r="Q116" i="3" s="1"/>
  <c r="C120" i="3"/>
  <c r="Q120" i="3" s="1"/>
  <c r="C124" i="3"/>
  <c r="Q124" i="3" s="1"/>
  <c r="C128" i="3"/>
  <c r="Q128" i="3" s="1"/>
  <c r="C132" i="3"/>
  <c r="Q132" i="3" s="1"/>
  <c r="C136" i="3"/>
  <c r="Q136" i="3" s="1"/>
  <c r="C140" i="3"/>
  <c r="Q140" i="3" s="1"/>
  <c r="C144" i="3"/>
  <c r="Q144" i="3" s="1"/>
  <c r="Q28" i="3" l="1"/>
  <c r="G28" i="3" a="1"/>
  <c r="G28" i="3" s="1"/>
  <c r="Q31" i="3"/>
  <c r="G31" i="3" a="1"/>
  <c r="G31" i="3" s="1"/>
  <c r="Q16" i="3"/>
  <c r="G16" i="3" a="1"/>
  <c r="G16" i="3" s="1"/>
  <c r="Q12" i="3"/>
  <c r="G12" i="3" a="1"/>
  <c r="G12" i="3" s="1"/>
  <c r="Q23" i="3"/>
  <c r="G23" i="3" a="1"/>
  <c r="G23" i="3" s="1"/>
  <c r="Q30" i="3"/>
  <c r="G30" i="3" a="1"/>
  <c r="G30" i="3" s="1"/>
  <c r="Q13" i="3"/>
  <c r="G13" i="3" a="1"/>
  <c r="G13" i="3" s="1"/>
  <c r="Q19" i="3"/>
  <c r="G19" i="3" a="1"/>
  <c r="G19" i="3" s="1"/>
  <c r="Q25" i="3"/>
  <c r="G25" i="3" a="1"/>
  <c r="G25" i="3" s="1"/>
  <c r="Q22" i="3"/>
  <c r="G22" i="3" a="1"/>
  <c r="G22" i="3" s="1"/>
  <c r="Q15" i="3"/>
  <c r="G15" i="3" a="1"/>
  <c r="G15" i="3" s="1"/>
  <c r="Q14" i="3"/>
  <c r="G14" i="3" a="1"/>
  <c r="G14" i="3" s="1"/>
  <c r="Q17" i="3"/>
  <c r="G17" i="3" a="1"/>
  <c r="G17" i="3" s="1"/>
  <c r="Q26" i="3"/>
  <c r="G26" i="3" a="1"/>
  <c r="G26" i="3" s="1"/>
  <c r="Q21" i="3"/>
  <c r="G21" i="3" a="1"/>
  <c r="G21" i="3" s="1"/>
  <c r="Q29" i="3"/>
  <c r="G29" i="3" a="1"/>
  <c r="G29" i="3" s="1"/>
  <c r="Q24" i="3"/>
  <c r="G24" i="3" a="1"/>
  <c r="G24" i="3" s="1"/>
  <c r="Q20" i="3"/>
  <c r="G20" i="3" a="1"/>
  <c r="G20" i="3" s="1"/>
  <c r="Q27" i="3"/>
  <c r="G27" i="3" a="1"/>
  <c r="G27" i="3" s="1"/>
  <c r="Q18" i="3"/>
  <c r="G18" i="3" a="1"/>
  <c r="G1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53A9D-D16F-4DD5-8E1F-B5E187D53B02}" keepAlive="1" name="Abfrage - DuengerTabelle" description="Verbindung mit der Abfrage 'DuengerTabelle' in der Arbeitsmappe." type="5" refreshedVersion="8" background="1" saveData="1">
    <dbPr connection="Provider=Microsoft.Mashup.OleDb.1;Data Source=$Workbook$;Location=DuengerTabelle;Extended Properties=&quot;&quot;" command="SELECT * FROM [DuengerTabelle]"/>
  </connection>
  <connection id="2" xr16:uid="{E2159665-339A-4BFB-A076-FDA51A99C58C}" keepAlive="1" name="Abfrage - SortenTabelle" description="Verbindung mit der Abfrage 'SortenTabelle' in der Arbeitsmappe." type="5" refreshedVersion="8" background="1" saveData="1">
    <dbPr connection="Provider=Microsoft.Mashup.OleDb.1;Data Source=$Workbook$;Location=SortenTabelle;Extended Properties=&quot;&quot;" command="SELECT * FROM [SortenTabelle]"/>
  </connection>
  <connection id="3" xr16:uid="{7AAFE3E1-8972-4030-A28E-53D12AE7941C}" keepAlive="1" name="Abfrage - Substrate_tabelle" description="Verbindung mit der Abfrage 'Substrate_tabelle' in der Arbeitsmappe." type="5" refreshedVersion="8" background="1" saveData="1">
    <dbPr connection="Provider=Microsoft.Mashup.OleDb.1;Data Source=$Workbook$;Location=Substrate_tabelle;Extended Properties=&quot;&quot;" command="SELECT * FROM [Substrate_tabel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<sst xmlns="http://schemas.openxmlformats.org/spreadsheetml/2006/main" count="2311" uniqueCount="795">
  <si>
    <t>Feminisiert</t>
  </si>
  <si>
    <t>Tage</t>
  </si>
  <si>
    <t>Sortename:</t>
  </si>
  <si>
    <t>Hersteller:</t>
  </si>
  <si>
    <t>Anbaumedium:</t>
  </si>
  <si>
    <t>Datum Tagebuch:</t>
  </si>
  <si>
    <t>Eigenes-Zeichen:</t>
  </si>
  <si>
    <t>Benutze CO2:</t>
  </si>
  <si>
    <t>Nein</t>
  </si>
  <si>
    <t>Diese Daten sind täglich einzutragen! Am ende bitte ausgefüllt zu uns schicken an die e-Mail: info@cannabisgenotyperegistry.com</t>
  </si>
  <si>
    <t>Woche</t>
  </si>
  <si>
    <t>Tag</t>
  </si>
  <si>
    <t>Datum</t>
  </si>
  <si>
    <t>Pflanzenhöhe [cm]</t>
  </si>
  <si>
    <t>Knotenpunkte [Nr]</t>
  </si>
  <si>
    <t>Blätter an Blatt bei Knoten</t>
  </si>
  <si>
    <t xml:space="preserve"> µmol²/s an Spitze</t>
  </si>
  <si>
    <t>Dünger Art</t>
  </si>
  <si>
    <t>Dünger ml/Liter</t>
  </si>
  <si>
    <t>Wasser-Gießmenge [ml]</t>
  </si>
  <si>
    <t>EC-Wert</t>
  </si>
  <si>
    <t>Zusatzbemerkung</t>
  </si>
  <si>
    <t>Temparatur</t>
  </si>
  <si>
    <t>Luftfeuchtigkeit</t>
  </si>
  <si>
    <t>Tageslicht [h]</t>
  </si>
  <si>
    <t>Es wurde in 1 Liter Erde eingetopft</t>
  </si>
  <si>
    <t>g</t>
  </si>
  <si>
    <t>boolen</t>
  </si>
  <si>
    <t>Größe</t>
  </si>
  <si>
    <t>Mg</t>
  </si>
  <si>
    <t>Name</t>
  </si>
  <si>
    <t>Verkäufer</t>
  </si>
  <si>
    <t>Hersteller</t>
  </si>
  <si>
    <t>Blütezeit / Tage</t>
  </si>
  <si>
    <t>Ertrag / m²</t>
  </si>
  <si>
    <t>THC</t>
  </si>
  <si>
    <t>Automatik</t>
  </si>
  <si>
    <t>Sativa</t>
  </si>
  <si>
    <t>Indica</t>
  </si>
  <si>
    <t>Ruderalis</t>
  </si>
  <si>
    <t>Stretch Faktor</t>
  </si>
  <si>
    <t>Blütenfarbe</t>
  </si>
  <si>
    <t>Ertrag zu Blütetag</t>
  </si>
  <si>
    <t>Max</t>
  </si>
  <si>
    <t>Technik</t>
  </si>
  <si>
    <t>Topf / L</t>
  </si>
  <si>
    <t>Preis 10</t>
  </si>
  <si>
    <t>Rounds</t>
  </si>
  <si>
    <t>SizeToBloom</t>
  </si>
  <si>
    <t>White Rhino</t>
  </si>
  <si>
    <t>Green House Seeds</t>
  </si>
  <si>
    <t>Ja</t>
  </si>
  <si>
    <t>Big Bang</t>
  </si>
  <si>
    <t>Mimosa Evo x Orange Punch</t>
  </si>
  <si>
    <t>Barneys Farm</t>
  </si>
  <si>
    <t>Bad Azz Kush</t>
  </si>
  <si>
    <t>Purple Mints</t>
  </si>
  <si>
    <t>Paradise Seeds</t>
  </si>
  <si>
    <t>Super Silver Haze</t>
  </si>
  <si>
    <t>Cookies Kush</t>
  </si>
  <si>
    <t>Arjan's Haze 3</t>
  </si>
  <si>
    <t>Royal Queen Seeds</t>
  </si>
  <si>
    <t>Screen of Green</t>
  </si>
  <si>
    <t>Arjan's Ultra Haze 1</t>
  </si>
  <si>
    <t>Pineapple Chunk</t>
  </si>
  <si>
    <t>Green Gelato Feminisiert</t>
  </si>
  <si>
    <t>Lollipopping</t>
  </si>
  <si>
    <t>Bruce Banner 3 Fast</t>
  </si>
  <si>
    <t>Zamnesia Seeds</t>
  </si>
  <si>
    <t>Original Sensible Seeds</t>
  </si>
  <si>
    <t>Hawaiian Snow</t>
  </si>
  <si>
    <t>Holy Snow</t>
  </si>
  <si>
    <t>GH Cheese</t>
  </si>
  <si>
    <t>Mob Boss</t>
  </si>
  <si>
    <t>amsterdamseedcenter</t>
  </si>
  <si>
    <t>Anesia Seeds</t>
  </si>
  <si>
    <t>Lemon Skunk</t>
  </si>
  <si>
    <t>Topping</t>
  </si>
  <si>
    <t>Papaya Sherbet</t>
  </si>
  <si>
    <t>PevGrow</t>
  </si>
  <si>
    <t>FastBuds</t>
  </si>
  <si>
    <t>Purple Punch</t>
  </si>
  <si>
    <t>Train Wreck</t>
  </si>
  <si>
    <t>Wonder Pie</t>
  </si>
  <si>
    <t>Coco Jambo</t>
  </si>
  <si>
    <t>Hippo High</t>
  </si>
  <si>
    <t>Razuberi</t>
  </si>
  <si>
    <t>Amnesie Haze Regular</t>
  </si>
  <si>
    <t xml:space="preserve">Big Berry Bliss Feminisierte </t>
  </si>
  <si>
    <t>Sensi Seeds</t>
  </si>
  <si>
    <t>Serge Cannabis</t>
  </si>
  <si>
    <t>Biscotti</t>
  </si>
  <si>
    <t>Candy Bezels</t>
  </si>
  <si>
    <t>Compound Genetics</t>
  </si>
  <si>
    <t>Super Critical Bud CBD</t>
  </si>
  <si>
    <t>Garden of Green</t>
  </si>
  <si>
    <t>Lemonpaya</t>
  </si>
  <si>
    <t>LSD</t>
  </si>
  <si>
    <t>Malawi Gold</t>
  </si>
  <si>
    <t>LST</t>
  </si>
  <si>
    <t>Lord Kush</t>
  </si>
  <si>
    <t>Delicious Seeds</t>
  </si>
  <si>
    <t>See of Green - Lollipopping</t>
  </si>
  <si>
    <t>Mandarine Jam Feminisierte</t>
  </si>
  <si>
    <t>Fat Beans</t>
  </si>
  <si>
    <t>PINK KUSH STRAIN</t>
  </si>
  <si>
    <t>bernysfarm</t>
  </si>
  <si>
    <t>Caramba</t>
  </si>
  <si>
    <t>Purple Thai</t>
  </si>
  <si>
    <t>Shining Silver Haze Regular</t>
  </si>
  <si>
    <t>Pure Power Plant</t>
  </si>
  <si>
    <t>White Label</t>
  </si>
  <si>
    <t>Critical Mass</t>
  </si>
  <si>
    <t>Advanced Seeds</t>
  </si>
  <si>
    <t>Skunk XL Regular</t>
  </si>
  <si>
    <t>Super Lemon Haze x GMO</t>
  </si>
  <si>
    <t>Purple Lobster</t>
  </si>
  <si>
    <t>Smashberry Fumez</t>
  </si>
  <si>
    <t xml:space="preserve">Atomic Blue Dream </t>
  </si>
  <si>
    <t>Big Berry Boom Boom</t>
  </si>
  <si>
    <t>White Orangutan</t>
  </si>
  <si>
    <t>Champelli</t>
  </si>
  <si>
    <t>Slam Dank</t>
  </si>
  <si>
    <t>Research</t>
  </si>
  <si>
    <t>Afghan X Skunk</t>
  </si>
  <si>
    <t>Ayahuasca Purple</t>
  </si>
  <si>
    <t>Industrial Plant</t>
  </si>
  <si>
    <t>Dinafem</t>
  </si>
  <si>
    <t>Big Bud Feminized</t>
  </si>
  <si>
    <t>Lollipop</t>
  </si>
  <si>
    <t>California Haze Feminisierte</t>
  </si>
  <si>
    <t>Humboldt Seed Company</t>
  </si>
  <si>
    <t>Candy Hash Feminisierte</t>
  </si>
  <si>
    <t>Black Muffin F1 Fast Version</t>
  </si>
  <si>
    <t>Linda Seeds</t>
  </si>
  <si>
    <t>Sweet Seeds</t>
  </si>
  <si>
    <t>Cherry Bacio Feminisierte</t>
  </si>
  <si>
    <t>Chocolate Rainbow XXL Feminisiert</t>
  </si>
  <si>
    <t>Cookies Gelato Feminisiert</t>
  </si>
  <si>
    <t>royalqueenseeds</t>
  </si>
  <si>
    <t>Mendocino Skunk</t>
  </si>
  <si>
    <t>Copacobana</t>
  </si>
  <si>
    <t>Critical Feminisierte</t>
  </si>
  <si>
    <t>Critical Mass Fast</t>
  </si>
  <si>
    <t>Fruit Punch</t>
  </si>
  <si>
    <t>G13 Haze</t>
  </si>
  <si>
    <t>Gelato Dream</t>
  </si>
  <si>
    <t>Gorilla Melon</t>
  </si>
  <si>
    <t>High MARS</t>
  </si>
  <si>
    <t>LA Sugar Feminisierte</t>
  </si>
  <si>
    <t>Laughung Buddha</t>
  </si>
  <si>
    <t>Lemon Mandarin</t>
  </si>
  <si>
    <t>Liberty Haze</t>
  </si>
  <si>
    <t>Punch Pie Feminisierte</t>
  </si>
  <si>
    <t>Eleven Roses - Early Version</t>
  </si>
  <si>
    <t>Pure Durban</t>
  </si>
  <si>
    <t>Notorious THC</t>
  </si>
  <si>
    <t>Rainbow Melon</t>
  </si>
  <si>
    <t>Royal Skywalker Feminisiert</t>
  </si>
  <si>
    <t>Screwdriver OG Feminisierte</t>
  </si>
  <si>
    <t>Sweet ZZ Feminisierte</t>
  </si>
  <si>
    <t>Sweetopia</t>
  </si>
  <si>
    <t>White Biscotti OG XXL Feminisierte</t>
  </si>
  <si>
    <t>Captain Future</t>
  </si>
  <si>
    <t>Mack &amp; Crack</t>
  </si>
  <si>
    <t>Seedstockers</t>
  </si>
  <si>
    <t>Panty Punch</t>
  </si>
  <si>
    <t>Mexican Rush</t>
  </si>
  <si>
    <t>Punch Pie</t>
  </si>
  <si>
    <t>Tyson 2.0</t>
  </si>
  <si>
    <t>Bigfoot Glue</t>
  </si>
  <si>
    <t>Blackberry Moonrocks</t>
  </si>
  <si>
    <t>Critical Kush</t>
  </si>
  <si>
    <t>Congo</t>
  </si>
  <si>
    <t>Cosmic Kiss Feminisierte</t>
  </si>
  <si>
    <t>Frozen Black Cherry</t>
  </si>
  <si>
    <t>Blueberry Muffin</t>
  </si>
  <si>
    <t>Grapevine Candy</t>
  </si>
  <si>
    <t>Hindu Kush</t>
  </si>
  <si>
    <t>Gelonade</t>
  </si>
  <si>
    <t>Purple Berry Muffinz Feminisiert</t>
  </si>
  <si>
    <t>OG Kush Feminisierte</t>
  </si>
  <si>
    <t>Blue Sunset Feminisierte</t>
  </si>
  <si>
    <t>Elementz</t>
  </si>
  <si>
    <t>Sweet Berry Breeze Feminisierte</t>
  </si>
  <si>
    <t>Purple Papaya Paradise Feminisiert</t>
  </si>
  <si>
    <t>See of Green</t>
  </si>
  <si>
    <t>Afghanica</t>
  </si>
  <si>
    <t>Ghost Train Haze</t>
  </si>
  <si>
    <t>Sunset Sherbet</t>
  </si>
  <si>
    <t xml:space="preserve">Lollipopping </t>
  </si>
  <si>
    <t>Jamaican Pearl Feminisierte</t>
  </si>
  <si>
    <t>Apple Blossom</t>
  </si>
  <si>
    <t>Mother Gorilla</t>
  </si>
  <si>
    <t>Purple Bud Feminisierte</t>
  </si>
  <si>
    <t>Sensi Purple Kush</t>
  </si>
  <si>
    <t>Poddy Mouth</t>
  </si>
  <si>
    <t>HulkBerry</t>
  </si>
  <si>
    <t>Super Lemon Haze x RS11</t>
  </si>
  <si>
    <t>Tropical Mirage Limited Edition</t>
  </si>
  <si>
    <t>Kalini Asia</t>
  </si>
  <si>
    <t>Velvet Moon</t>
  </si>
  <si>
    <t>Wedding Gelato</t>
  </si>
  <si>
    <t>Titan F1</t>
  </si>
  <si>
    <t>Northern Lights #5 x Haze</t>
  </si>
  <si>
    <t>Sticky Boof</t>
  </si>
  <si>
    <t>White Widow Regular</t>
  </si>
  <si>
    <t>Future #1</t>
  </si>
  <si>
    <t>Imperium X</t>
  </si>
  <si>
    <t>OG Kush</t>
  </si>
  <si>
    <t>Purple Cookie Kush Feminisierte</t>
  </si>
  <si>
    <t>The Church</t>
  </si>
  <si>
    <t>Jet Puft</t>
  </si>
  <si>
    <t>N13 Kush Feminisierte</t>
  </si>
  <si>
    <t>Pink Rozay</t>
  </si>
  <si>
    <t>Tropicana Cookies</t>
  </si>
  <si>
    <t>Cream Caramel F1 Fast Version</t>
  </si>
  <si>
    <t>Crystal Candy F1 Fast Version</t>
  </si>
  <si>
    <t>Dark Devil Auto</t>
  </si>
  <si>
    <t>Fat Banana</t>
  </si>
  <si>
    <t>Mimosa</t>
  </si>
  <si>
    <t>Raspberry Critical Kush Feminisierte</t>
  </si>
  <si>
    <t>Bahama Mama Automatic</t>
  </si>
  <si>
    <t>Dr Grinspoon</t>
  </si>
  <si>
    <t>Mimosa Sunrise XXL Automatic</t>
  </si>
  <si>
    <t>Super Lemon Haze x Pink Candy</t>
  </si>
  <si>
    <t>White Runtz</t>
  </si>
  <si>
    <t>SOG Stecklingen</t>
  </si>
  <si>
    <t>Lemon Ice</t>
  </si>
  <si>
    <t>Amsterdam Genetics</t>
  </si>
  <si>
    <t>Sunset Paradise</t>
  </si>
  <si>
    <t>Sensi Skunk</t>
  </si>
  <si>
    <t>Diablo Rojo XL Auto</t>
  </si>
  <si>
    <t>Big Bazooka</t>
  </si>
  <si>
    <t>Runtz Gum</t>
  </si>
  <si>
    <t>Sherbet Moonrocks</t>
  </si>
  <si>
    <t>Gorilla Z Fast</t>
  </si>
  <si>
    <t>Bruce Banner 3</t>
  </si>
  <si>
    <t>Wedding Cookies</t>
  </si>
  <si>
    <t>Trop Cherry</t>
  </si>
  <si>
    <t>Blue Zushi</t>
  </si>
  <si>
    <t>Black Ghost OG</t>
  </si>
  <si>
    <t>Blueberry Ghost OG</t>
  </si>
  <si>
    <t>Banana Sherbet</t>
  </si>
  <si>
    <t>Cheese XXL</t>
  </si>
  <si>
    <t>Super Bud</t>
  </si>
  <si>
    <t>Greenhouse Seeds</t>
  </si>
  <si>
    <t>Critical 2.0</t>
  </si>
  <si>
    <t>Gorilla Girl F1 Fast Version</t>
  </si>
  <si>
    <t>Gorilla Sherbet F1 Fast Version</t>
  </si>
  <si>
    <t>Green Poison F1 Fast Version</t>
  </si>
  <si>
    <t>Jack 47 F1 Fast Version</t>
  </si>
  <si>
    <t>Killer Kush F1 Fast Version</t>
  </si>
  <si>
    <t>Mental Rainbow F1 Fast Version</t>
  </si>
  <si>
    <t>Papaya Zoap F1 Fast Version</t>
  </si>
  <si>
    <t>Red Hot Cookies</t>
  </si>
  <si>
    <t>Red Mandarine F1 Fast Version</t>
  </si>
  <si>
    <t>Red Poison Auto</t>
  </si>
  <si>
    <t>S.A.D. Sweet Afgani Delicious F1 Fast Version</t>
  </si>
  <si>
    <t>Strawberry Cola Sherbet F1 Fast Version</t>
  </si>
  <si>
    <t>Sweet Cheese F1 Fast Version</t>
  </si>
  <si>
    <t>Watermelon Zkittlez</t>
  </si>
  <si>
    <t>White Biscotti OG XXL</t>
  </si>
  <si>
    <t>All Gas OG</t>
  </si>
  <si>
    <t>Banana OG</t>
  </si>
  <si>
    <t>California Octane Triploid</t>
  </si>
  <si>
    <t>Vanilla Frosting</t>
  </si>
  <si>
    <t>Sweet Mandarine Zkittlez F1 Fast Version</t>
  </si>
  <si>
    <t>Sweet Skunk F1 Fast Version</t>
  </si>
  <si>
    <t>Tropicanna Poison - F1 Fast Version</t>
  </si>
  <si>
    <t>Tropicanna Poison F1 Fast Version</t>
  </si>
  <si>
    <t>Red Red Wine x6</t>
  </si>
  <si>
    <t>Perfect Tree Seeds</t>
  </si>
  <si>
    <t>Ergebnis</t>
  </si>
  <si>
    <t>Growleitfaden Version 1.0.0</t>
  </si>
  <si>
    <t>Ertragserwartung</t>
  </si>
  <si>
    <t>Blütetage</t>
  </si>
  <si>
    <t>Ertragsfaktor</t>
  </si>
  <si>
    <r>
      <t>CO</t>
    </r>
    <r>
      <rPr>
        <vertAlign val="subscript"/>
        <sz val="11"/>
        <color theme="1"/>
        <rFont val="Arial Nova Cond Light"/>
        <family val="2"/>
        <scheme val="minor"/>
      </rPr>
      <t>2</t>
    </r>
  </si>
  <si>
    <t>NEIN</t>
  </si>
  <si>
    <t>Max. PPFD</t>
  </si>
  <si>
    <t>Datum / Zeit</t>
  </si>
  <si>
    <t>Anfang</t>
  </si>
  <si>
    <t>Erwartete Vegitation</t>
  </si>
  <si>
    <t>Beschnitt</t>
  </si>
  <si>
    <t>Stretchfaktor</t>
  </si>
  <si>
    <t>*</t>
  </si>
  <si>
    <t>Größe für Blüte</t>
  </si>
  <si>
    <t>cm</t>
  </si>
  <si>
    <t>Ertragskorridor</t>
  </si>
  <si>
    <t>Maximalertrag</t>
  </si>
  <si>
    <t>Ab- oder Aufschlag CO2</t>
  </si>
  <si>
    <t>Multiplikator</t>
  </si>
  <si>
    <t>Erechneter max. Etrag</t>
  </si>
  <si>
    <t>Ertrag TOP</t>
  </si>
  <si>
    <t>Ertrag MID</t>
  </si>
  <si>
    <t>Ertrag BOTTOM</t>
  </si>
  <si>
    <t>Pflanzenendgröße</t>
  </si>
  <si>
    <t>Stretchzunahme</t>
  </si>
  <si>
    <t>mm</t>
  </si>
  <si>
    <t>Blütenschwellen</t>
  </si>
  <si>
    <t>Produktname</t>
  </si>
  <si>
    <t>Zierpfl.</t>
  </si>
  <si>
    <t>Gemüse</t>
  </si>
  <si>
    <t>Obst</t>
  </si>
  <si>
    <t>Harnst.</t>
  </si>
  <si>
    <t>Stickstoffgverteilung</t>
  </si>
  <si>
    <t>Nitrat-N-Gewichtung</t>
  </si>
  <si>
    <t>Wasser</t>
  </si>
  <si>
    <t>NO3</t>
  </si>
  <si>
    <t>NH4</t>
  </si>
  <si>
    <t>ges.N</t>
  </si>
  <si>
    <t>P2O5</t>
  </si>
  <si>
    <t>K2O</t>
  </si>
  <si>
    <t>MgO</t>
  </si>
  <si>
    <t>CaO</t>
  </si>
  <si>
    <t>SO4</t>
  </si>
  <si>
    <t>Fe</t>
  </si>
  <si>
    <t>Mn</t>
  </si>
  <si>
    <t>Zn</t>
  </si>
  <si>
    <t>B</t>
  </si>
  <si>
    <t>Cu</t>
  </si>
  <si>
    <t>Mo</t>
  </si>
  <si>
    <t>Al</t>
  </si>
  <si>
    <t>Spalte1</t>
  </si>
  <si>
    <t>g/L</t>
  </si>
  <si>
    <t>0,5 ‰</t>
  </si>
  <si>
    <t>1,0 ‰</t>
  </si>
  <si>
    <t>1,5 ‰</t>
  </si>
  <si>
    <t>2,0 ‰</t>
  </si>
  <si>
    <t>1%</t>
  </si>
  <si>
    <t>5%</t>
  </si>
  <si>
    <t>10%</t>
  </si>
  <si>
    <t>20%</t>
  </si>
  <si>
    <t>100%</t>
  </si>
  <si>
    <t>Trockenstoffe</t>
  </si>
  <si>
    <t>Wasser2</t>
  </si>
  <si>
    <t>Plantafert</t>
  </si>
  <si>
    <t>Ferty 8 MEGA 18+22 (+3,3)</t>
  </si>
  <si>
    <t>x</t>
  </si>
  <si>
    <t>57:43</t>
  </si>
  <si>
    <t>Euflor</t>
  </si>
  <si>
    <t>Flory 8 MEGA</t>
  </si>
  <si>
    <t>FERTIPLANT 18+0+20(+12)</t>
  </si>
  <si>
    <t>83:17</t>
  </si>
  <si>
    <t>Ferty 8 Gelb 20+16 (+2)</t>
  </si>
  <si>
    <t>46:54</t>
  </si>
  <si>
    <t>Flory 8 (NK)</t>
  </si>
  <si>
    <t>42:58</t>
  </si>
  <si>
    <t>Agriplant 5       19+0+15 (+2)</t>
  </si>
  <si>
    <t>39:61</t>
  </si>
  <si>
    <t>Ferty 10 spezial Spurennährstoffe</t>
  </si>
  <si>
    <t>Ferty 7 Fe0HEDTA 9 % Fe</t>
  </si>
  <si>
    <t>Ferty 71 Fe0EDTA 13 % Fe</t>
  </si>
  <si>
    <t>Ferty 72 Fe0EDDHA 6 % Fe</t>
  </si>
  <si>
    <t>Ferty 73 Fe0DTPA 11 % Fe</t>
  </si>
  <si>
    <t>Ferty 74 Fe0HBED 9 % Fe</t>
  </si>
  <si>
    <t>Florymonid flüssig EC/I</t>
  </si>
  <si>
    <t>50:50</t>
  </si>
  <si>
    <t>Compo Expert</t>
  </si>
  <si>
    <t>Kamasol brillant Grün</t>
  </si>
  <si>
    <t>100:0</t>
  </si>
  <si>
    <t>Ferty EcoPhos 2  16+4+25 (+3)</t>
  </si>
  <si>
    <t>64:36</t>
  </si>
  <si>
    <t>Ferty EcoPhos 1  23+4+11 (+3)</t>
  </si>
  <si>
    <t>52:48</t>
  </si>
  <si>
    <t>Mana</t>
  </si>
  <si>
    <t>WUXAL Top N</t>
  </si>
  <si>
    <t>Agriplant 6       15+5+30 (+2)</t>
  </si>
  <si>
    <t>70:30</t>
  </si>
  <si>
    <t>Ferty EcoPhos 4  10+5+30 (+3)</t>
  </si>
  <si>
    <t>56:44</t>
  </si>
  <si>
    <t>ICL</t>
  </si>
  <si>
    <t>Peters Professional Potash Special</t>
  </si>
  <si>
    <t>90:10</t>
  </si>
  <si>
    <t>n.a.</t>
  </si>
  <si>
    <t>Yara</t>
  </si>
  <si>
    <t>YaraTera Kristalon weißmarke</t>
  </si>
  <si>
    <t>75:25</t>
  </si>
  <si>
    <t xml:space="preserve">Ferty 2 Blau 15+5+25 (+2) </t>
  </si>
  <si>
    <t>Flory 2 (blau)</t>
  </si>
  <si>
    <t>Universol Orange</t>
  </si>
  <si>
    <t>66:34</t>
  </si>
  <si>
    <t>Agriplant 2       12+5+24 (+2)</t>
  </si>
  <si>
    <t>33:67</t>
  </si>
  <si>
    <t>NovaTec Solub K0Max</t>
  </si>
  <si>
    <t>40:60</t>
  </si>
  <si>
    <t>Peters Excel CalMag Finisher</t>
  </si>
  <si>
    <t>Hakaphos Naranja</t>
  </si>
  <si>
    <t>68:32</t>
  </si>
  <si>
    <t>Ferty EcoPhos 3  15+5+15 (+4)</t>
  </si>
  <si>
    <t>20:80</t>
  </si>
  <si>
    <t>Peters Excel CalMag Grower</t>
  </si>
  <si>
    <t>89:11</t>
  </si>
  <si>
    <t>Hakaphos Amarillo</t>
  </si>
  <si>
    <t>Vegesan 100507</t>
  </si>
  <si>
    <t>Agriplant 1       20+5+10 (+2)</t>
  </si>
  <si>
    <t>34:66</t>
  </si>
  <si>
    <t>Kein</t>
  </si>
  <si>
    <t>Alkrisal</t>
  </si>
  <si>
    <t>Flory 1 (rot)</t>
  </si>
  <si>
    <t xml:space="preserve">NovaTec Solub N0Max </t>
  </si>
  <si>
    <t>15:85</t>
  </si>
  <si>
    <t>YaraTera Kristalon azur</t>
  </si>
  <si>
    <t>36:64</t>
  </si>
  <si>
    <t>Manna LIN K spezial</t>
  </si>
  <si>
    <t>Hakaphos Grün</t>
  </si>
  <si>
    <t>35:65</t>
  </si>
  <si>
    <t xml:space="preserve"> </t>
  </si>
  <si>
    <t>Manna LIN A</t>
  </si>
  <si>
    <t>Manna LIN A spezial</t>
  </si>
  <si>
    <t>51:49</t>
  </si>
  <si>
    <t>Manna LIN K</t>
  </si>
  <si>
    <t>53:47</t>
  </si>
  <si>
    <t>Universol Special P</t>
  </si>
  <si>
    <t>67:33</t>
  </si>
  <si>
    <t>Ferty 2 MEGA 16+6+26 (+3,4)</t>
  </si>
  <si>
    <t>Flory 2 MEGA</t>
  </si>
  <si>
    <t>Agriplant 3S     19+6+20 (+3)</t>
  </si>
  <si>
    <t>59:41</t>
  </si>
  <si>
    <t>YaraTera Kristalon blaumarke</t>
  </si>
  <si>
    <t>62:38</t>
  </si>
  <si>
    <t>Hakaphos soft Plus</t>
  </si>
  <si>
    <t>54:46</t>
  </si>
  <si>
    <t>Ferty 1 MEGA 24+6+12 (+2)</t>
  </si>
  <si>
    <t>Flory 1 (spezial)</t>
  </si>
  <si>
    <t>Flory 1 MEGA</t>
  </si>
  <si>
    <t>Universol Green</t>
  </si>
  <si>
    <t>Universol Opal  (Neu 2019!)</t>
  </si>
  <si>
    <t>Hakaphos soft Elite</t>
  </si>
  <si>
    <t>Agriplant Ca0K</t>
  </si>
  <si>
    <t>Peters Professional Poinsettia Mix</t>
  </si>
  <si>
    <t>FERTIPLANT Acid 12+7+25(+8)(+2)</t>
  </si>
  <si>
    <t>Agriplant 7+7+23(+4)</t>
  </si>
  <si>
    <t>0:100</t>
  </si>
  <si>
    <t>Ferty 9 Hydro 15+7+22 (+6)</t>
  </si>
  <si>
    <t>Flory 9 (Hydro)</t>
  </si>
  <si>
    <t>Universol Soft Water 213R</t>
  </si>
  <si>
    <t>Peters Professional Grow0Mix</t>
  </si>
  <si>
    <t>81:19</t>
  </si>
  <si>
    <t>Agriplant Ca0N</t>
  </si>
  <si>
    <t>Universol Soft Water 312R</t>
  </si>
  <si>
    <t>71:29</t>
  </si>
  <si>
    <t>Ferty 1 Rot 20+7+10 (+2)</t>
  </si>
  <si>
    <t>Hakaphos Azerka</t>
  </si>
  <si>
    <t>Ferty Basis 4     4+8+40 (+4)</t>
  </si>
  <si>
    <t>Flory Basis 4</t>
  </si>
  <si>
    <t>WUXAL Top K</t>
  </si>
  <si>
    <t>Kamasol brillant Blau</t>
  </si>
  <si>
    <t>Vegesan 508010</t>
  </si>
  <si>
    <t>Manna LIN F</t>
  </si>
  <si>
    <t>44:56</t>
  </si>
  <si>
    <t>Vegesan 80806</t>
  </si>
  <si>
    <t>Hakaphos soft Spezial</t>
  </si>
  <si>
    <t>60:40</t>
  </si>
  <si>
    <t>WUXAL Super</t>
  </si>
  <si>
    <t>38:62</t>
  </si>
  <si>
    <t>NovaTec Solub NK0Max</t>
  </si>
  <si>
    <t>31:69</t>
  </si>
  <si>
    <t>Hakaphos basis 2</t>
  </si>
  <si>
    <t>Universol Hard Water 115 (Neu 2019!)</t>
  </si>
  <si>
    <t>Peters Professional Plant Finisher</t>
  </si>
  <si>
    <t>Flory 2 (spezial)</t>
  </si>
  <si>
    <t xml:space="preserve"> x</t>
  </si>
  <si>
    <t>65:35</t>
  </si>
  <si>
    <t>Peters Professional Winter Grow Special Low B</t>
  </si>
  <si>
    <t>Agriplant 7S     12+10+36 (+2)</t>
  </si>
  <si>
    <t>84:16</t>
  </si>
  <si>
    <t>Universol Special 127</t>
  </si>
  <si>
    <t>Ferty Primula  11,5+10+35 (+2)</t>
  </si>
  <si>
    <t>82:18</t>
  </si>
  <si>
    <t>Universol Violet</t>
  </si>
  <si>
    <t>Universol Hard Water 225</t>
  </si>
  <si>
    <t>76:24</t>
  </si>
  <si>
    <t>Peters Excel Hard Water Finisher</t>
  </si>
  <si>
    <t>Universol Jade (Neu 2019!)</t>
  </si>
  <si>
    <t>45:55</t>
  </si>
  <si>
    <t>FERTIPLANT Acid 16+10+25(+2)</t>
  </si>
  <si>
    <t>Peters Professional Winter Grow Special</t>
  </si>
  <si>
    <t>FERTIPLANT Acid 19+5+10(+2)</t>
  </si>
  <si>
    <t>Hakaphos Blau</t>
  </si>
  <si>
    <t>26:74</t>
  </si>
  <si>
    <t>Peters Excel Hard Water Grow Special</t>
  </si>
  <si>
    <t>74:26</t>
  </si>
  <si>
    <t>FERTIPLANT Acid 15+10+15(+8)(+2)</t>
  </si>
  <si>
    <t>78:22</t>
  </si>
  <si>
    <t>Ferty 3 Grün 15+10+15 (+2)</t>
  </si>
  <si>
    <t>30:70</t>
  </si>
  <si>
    <t>Flory 3 (grün)</t>
  </si>
  <si>
    <t>Agriplant 3       14+10+14 (+2)</t>
  </si>
  <si>
    <t>17:83</t>
  </si>
  <si>
    <t>Poly Crescal</t>
  </si>
  <si>
    <t>27:73</t>
  </si>
  <si>
    <t>FERTIPLANT 30+10+10</t>
  </si>
  <si>
    <t>25:75</t>
  </si>
  <si>
    <t>Peters Professional Hi0Nitro</t>
  </si>
  <si>
    <t>61:39</t>
  </si>
  <si>
    <t>Universol Hard Water 211</t>
  </si>
  <si>
    <t xml:space="preserve"> Manna LIN K Plus</t>
  </si>
  <si>
    <t>Manna LIN M</t>
  </si>
  <si>
    <t>29:71</t>
  </si>
  <si>
    <t>Ferty Basis 3       11+39 (+4)</t>
  </si>
  <si>
    <t>Flory Basis 3</t>
  </si>
  <si>
    <t>Flory 5 Mega</t>
  </si>
  <si>
    <t>Universol Soft Water 113R</t>
  </si>
  <si>
    <t>Peters Professional Pot Plant Special</t>
  </si>
  <si>
    <t>Hakaphos soft Novell</t>
  </si>
  <si>
    <t>YaraTera – Kristalon rot Calcium</t>
  </si>
  <si>
    <t>96:4</t>
  </si>
  <si>
    <t>Peters Professional Special Formula Low Zn</t>
  </si>
  <si>
    <t>Universol Hard Water 212 (Neu 2019!)</t>
  </si>
  <si>
    <t>Universol Blue</t>
  </si>
  <si>
    <t>YaraTera Kristalon azur spezial</t>
  </si>
  <si>
    <t>Universol Saphir (Neu 2019!)</t>
  </si>
  <si>
    <t>Agriplant 7         6+12+36 (+2)</t>
  </si>
  <si>
    <t>63:37</t>
  </si>
  <si>
    <t>YaraTera Kristalon orange</t>
  </si>
  <si>
    <t>YaraTera Kristalon rot</t>
  </si>
  <si>
    <t>Hakaphos Rot</t>
  </si>
  <si>
    <t>37:63</t>
  </si>
  <si>
    <t>FERTIPLANT 17+12+26</t>
  </si>
  <si>
    <t>Peters Professional Orchid Special</t>
  </si>
  <si>
    <t>Ferty 3 MEGA 18+12+18 (+2)</t>
  </si>
  <si>
    <t>55:45</t>
  </si>
  <si>
    <t>Flory 3 MEGA</t>
  </si>
  <si>
    <t>Hakaphos soft Ultra</t>
  </si>
  <si>
    <t>Manna LIN B</t>
  </si>
  <si>
    <t>Manna LIN B spezial</t>
  </si>
  <si>
    <t>MannaLIN M spezial</t>
  </si>
  <si>
    <t>Ferty Basis 1        14+38 (+5)</t>
  </si>
  <si>
    <t>Flory Basis 1</t>
  </si>
  <si>
    <t>Ferty Basis 6     6+14+37 (+4)</t>
  </si>
  <si>
    <t>Flory Basis 6</t>
  </si>
  <si>
    <t>Peters Excel Extra Acidifier</t>
  </si>
  <si>
    <t>FERTIPLANT 20+14+20</t>
  </si>
  <si>
    <t>Poly Fertisal</t>
  </si>
  <si>
    <t>12:88</t>
  </si>
  <si>
    <t>YaraTera Kristalon grün Calcium</t>
  </si>
  <si>
    <t>Hakaphos basis 3</t>
  </si>
  <si>
    <t>Ferty Basis 2     3+15+35 (+5)</t>
  </si>
  <si>
    <t>Flory Basis 2</t>
  </si>
  <si>
    <t>FERTIPLANT 15+15+30</t>
  </si>
  <si>
    <t>Agriplant 4         8+15+20 (+2)</t>
  </si>
  <si>
    <t>FERTIPLANT 27+15+12</t>
  </si>
  <si>
    <t>Peters Professional Foliar feed</t>
  </si>
  <si>
    <t>Ferty Basis 7     4+16+32 (+6)</t>
  </si>
  <si>
    <t>Flory Basis 7</t>
  </si>
  <si>
    <t xml:space="preserve">Ferty 4 Weiß   8+16+24 (+4) </t>
  </si>
  <si>
    <t>Flory 4 (weiß)</t>
  </si>
  <si>
    <t>Peters Professional Combi Sol Low B/Zn</t>
  </si>
  <si>
    <t>Peters Professional Combi Sol</t>
  </si>
  <si>
    <t>Ferty 6 MEGA 18+18+18</t>
  </si>
  <si>
    <t>Flory 6 MEGA</t>
  </si>
  <si>
    <t>Universol Hard Water 111 (Neu 2019!)</t>
  </si>
  <si>
    <t>YaraTera Kristalon grünmarke</t>
  </si>
  <si>
    <t>Manna LIN Basis</t>
  </si>
  <si>
    <t>Universol Basis</t>
  </si>
  <si>
    <t>Peters Professional Special Purpose Low B</t>
  </si>
  <si>
    <t>Hakaphos basis 5</t>
  </si>
  <si>
    <t>80:20</t>
  </si>
  <si>
    <t>FERTIPLANT 10+20+30</t>
  </si>
  <si>
    <t>Ferty 4 MEGA 10+20+30+(2,7)</t>
  </si>
  <si>
    <t>Ferty Basis 5     5+20+30 (+5)</t>
  </si>
  <si>
    <t>Flory 4 MEGA</t>
  </si>
  <si>
    <t>Flory Basis 5</t>
  </si>
  <si>
    <t>WUXAL Top P</t>
  </si>
  <si>
    <t>FERTIPLANT 20+20+20</t>
  </si>
  <si>
    <t>Peters Professional Allrounder</t>
  </si>
  <si>
    <t>Peters Professional Special Purpose</t>
  </si>
  <si>
    <t>Universol Hard Water 146 (Neu 2019!)</t>
  </si>
  <si>
    <t>YaraTera Kristalon Vega</t>
  </si>
  <si>
    <t>32:68</t>
  </si>
  <si>
    <t>FERTIPLANT 10+30+20</t>
  </si>
  <si>
    <t>Peters Professional Blossom Booster</t>
  </si>
  <si>
    <t>FERTIPLANT 15+30+15</t>
  </si>
  <si>
    <t>Universol Yellow</t>
  </si>
  <si>
    <t xml:space="preserve">NovaTec Solub P0Max </t>
  </si>
  <si>
    <t>YaraTera Krista MKP</t>
  </si>
  <si>
    <t>Ferty 5    6+36+20 (+2)</t>
  </si>
  <si>
    <t>1:99</t>
  </si>
  <si>
    <t>YaraTera Kristalon Scarlet</t>
  </si>
  <si>
    <t>YaraTera Kristalon Gena</t>
  </si>
  <si>
    <t>YaraTera Kristalon braun</t>
  </si>
  <si>
    <t>Peters Professional Power P</t>
  </si>
  <si>
    <t>YaraTera Kristalon gelb</t>
  </si>
  <si>
    <t>Agriplant 8       10+40+10 (+2)</t>
  </si>
  <si>
    <t>8:92</t>
  </si>
  <si>
    <t>Ferty 6  10+40+10(+2)</t>
  </si>
  <si>
    <t>11:89</t>
  </si>
  <si>
    <t>Universol Hard Water 151 (Neu 2019!)</t>
  </si>
  <si>
    <t>22:78</t>
  </si>
  <si>
    <t>Monokaliumphosphat</t>
  </si>
  <si>
    <t>FERTIPLANT 10+52+10</t>
  </si>
  <si>
    <t>14:86</t>
  </si>
  <si>
    <t>Peters Professional Plant Starter</t>
  </si>
  <si>
    <t>YaraTera Krista MAP</t>
  </si>
  <si>
    <t>YaraTera Krista SOP</t>
  </si>
  <si>
    <t>Kalisulfat</t>
  </si>
  <si>
    <t>YaraTera Krista0K Kaliumnitrat</t>
  </si>
  <si>
    <t>Peters Professional Special Formula Low B</t>
  </si>
  <si>
    <t>Peters Professional Potassium Booster</t>
  </si>
  <si>
    <t>Universol Special 104</t>
  </si>
  <si>
    <t>NovaTec Solub 900043</t>
  </si>
  <si>
    <t>WUXAL Microplant</t>
  </si>
  <si>
    <t>Universol White</t>
  </si>
  <si>
    <t>Alkril</t>
  </si>
  <si>
    <t>Wuxal</t>
  </si>
  <si>
    <t>WUXAL Combi Mg (Typ 1)</t>
  </si>
  <si>
    <t>WUXAL Calcium</t>
  </si>
  <si>
    <t>2:98</t>
  </si>
  <si>
    <t>NoveTec 18 fluid</t>
  </si>
  <si>
    <t>Hakaphos Gelb</t>
  </si>
  <si>
    <t>43:57</t>
  </si>
  <si>
    <t>Aluminiumsulfat</t>
  </si>
  <si>
    <t>Ammoniumnitrat flüssig</t>
  </si>
  <si>
    <t>Bittersalz</t>
  </si>
  <si>
    <t>Flory 10 Spuren</t>
  </si>
  <si>
    <t>Flory 7 Eisen HEEDTA</t>
  </si>
  <si>
    <t>Flory 71 Eisen EDTA</t>
  </si>
  <si>
    <t>Flory 72 Eisen EDDHA</t>
  </si>
  <si>
    <t>Flory 73 Eisen DTPA</t>
  </si>
  <si>
    <t>Kaliumnitrat</t>
  </si>
  <si>
    <t>Kalksalpeter</t>
  </si>
  <si>
    <t>93:7</t>
  </si>
  <si>
    <t>Lebosol</t>
  </si>
  <si>
    <t>Lebosol®0nutriplant® 36</t>
  </si>
  <si>
    <t>Magnesiumnitrat</t>
  </si>
  <si>
    <t>NovaTec Solub 21</t>
  </si>
  <si>
    <t>schwefels. Ammoniak</t>
  </si>
  <si>
    <t>Select Mag Phos</t>
  </si>
  <si>
    <t>Select MAP</t>
  </si>
  <si>
    <t>Select MKP</t>
  </si>
  <si>
    <t>Wasser (8,5d°)</t>
  </si>
  <si>
    <t>WUXAL Magnesium</t>
  </si>
  <si>
    <t>WUXAL Multimicro</t>
  </si>
  <si>
    <t>Yara Liva CalciNit</t>
  </si>
  <si>
    <t>92:8</t>
  </si>
  <si>
    <t>YaraTera Krista Mag</t>
  </si>
  <si>
    <t>Aral</t>
  </si>
  <si>
    <t>AdBlue</t>
  </si>
  <si>
    <t>BP</t>
  </si>
  <si>
    <t>Compo</t>
  </si>
  <si>
    <t>Kakteen- und Sukkulenten</t>
  </si>
  <si>
    <t>Raiffeisen</t>
  </si>
  <si>
    <t>Blüh- und Grünpflanzendünger Raiffeisen Gärtnerglück</t>
  </si>
  <si>
    <t>Nutri ONE</t>
  </si>
  <si>
    <t>Universal-Dünger</t>
  </si>
  <si>
    <t>Blütenpracht</t>
  </si>
  <si>
    <t>Rosendünger</t>
  </si>
  <si>
    <t>47:53</t>
  </si>
  <si>
    <t>Universaldünger</t>
  </si>
  <si>
    <t>Verwendung</t>
  </si>
  <si>
    <t>Salz g/l</t>
  </si>
  <si>
    <t>EC mS/cm</t>
  </si>
  <si>
    <t>ph</t>
  </si>
  <si>
    <t>[CaCl2]</t>
  </si>
  <si>
    <t>[P2O2]</t>
  </si>
  <si>
    <t>[K2O]</t>
  </si>
  <si>
    <t>[Mg]</t>
  </si>
  <si>
    <t>Bochmoortorf H6-H8</t>
  </si>
  <si>
    <t>Weisstorf H3-H4</t>
  </si>
  <si>
    <t>Schwarztorf H4-H7</t>
  </si>
  <si>
    <t>K</t>
  </si>
  <si>
    <t>Na</t>
  </si>
  <si>
    <t>Ca</t>
  </si>
  <si>
    <t>CL</t>
  </si>
  <si>
    <t>HCO3</t>
  </si>
  <si>
    <t>P</t>
  </si>
  <si>
    <t>Si</t>
  </si>
  <si>
    <t>CEC</t>
  </si>
  <si>
    <t>Netzmittel</t>
  </si>
  <si>
    <t>C:N Verhältnis</t>
  </si>
  <si>
    <t>K:Mg Verhältnis</t>
  </si>
  <si>
    <t>Ca:Mg Verhältnis</t>
  </si>
  <si>
    <t>Strucktur</t>
  </si>
  <si>
    <t>Floragard</t>
  </si>
  <si>
    <t>Samen / Steckling</t>
  </si>
  <si>
    <t>1:1</t>
  </si>
  <si>
    <t>1,4:1</t>
  </si>
  <si>
    <t>30:1</t>
  </si>
  <si>
    <t>1,1:1</t>
  </si>
  <si>
    <t>fein</t>
  </si>
  <si>
    <t>2,4:1</t>
  </si>
  <si>
    <t>2,7:1</t>
  </si>
  <si>
    <t>Anzuchterde</t>
  </si>
  <si>
    <t>Plantop Aussaterde</t>
  </si>
  <si>
    <t>2:1</t>
  </si>
  <si>
    <t>3,3:1</t>
  </si>
  <si>
    <t>CANNA</t>
  </si>
  <si>
    <t>1,5:1</t>
  </si>
  <si>
    <t>Vegetativen</t>
  </si>
  <si>
    <t>Eazy Plug</t>
  </si>
  <si>
    <t>Eazyplug</t>
  </si>
  <si>
    <t>3,6:1</t>
  </si>
  <si>
    <t>2,9:1</t>
  </si>
  <si>
    <t>mittelgrob</t>
  </si>
  <si>
    <t>2,8:1</t>
  </si>
  <si>
    <t>BioBizz</t>
  </si>
  <si>
    <t>Plagron</t>
  </si>
  <si>
    <t>GROWCOM</t>
  </si>
  <si>
    <t>Volldünger</t>
  </si>
  <si>
    <t>Flooradur Seed Floating Tabacco</t>
  </si>
  <si>
    <t>Flooradur Seed S 0,5</t>
  </si>
  <si>
    <t>Perlite</t>
  </si>
  <si>
    <t>Steckling</t>
  </si>
  <si>
    <t>Samen</t>
  </si>
  <si>
    <t>Floraton 3</t>
  </si>
  <si>
    <t>Flooradur B Cutting</t>
  </si>
  <si>
    <t>Flooradur B Seed</t>
  </si>
  <si>
    <t>Flooradur Seed S 0,8</t>
  </si>
  <si>
    <t>Florabalt Seed 1</t>
  </si>
  <si>
    <t>Floradur B Seed</t>
  </si>
  <si>
    <t>Light Mix Anzuchterde</t>
  </si>
  <si>
    <t>Professional Lightmix Anzuchterde</t>
  </si>
  <si>
    <t>TKS 1 Seed</t>
  </si>
  <si>
    <t>Aussaat</t>
  </si>
  <si>
    <t>Floraton 1</t>
  </si>
  <si>
    <t>Jungpflanzen</t>
  </si>
  <si>
    <t>Florabalt Seed 2</t>
  </si>
  <si>
    <t>Professional Growmix Organic</t>
  </si>
  <si>
    <t>Pflanzen</t>
  </si>
  <si>
    <t>BIO-ERDE AROMATISCH</t>
  </si>
  <si>
    <t>Flooradur A Block</t>
  </si>
  <si>
    <t>Terra Seed Mix</t>
  </si>
  <si>
    <t>Flooradur B Pot medium WF</t>
  </si>
  <si>
    <t>Flooradur Seed Tabacco</t>
  </si>
  <si>
    <t>Floradur Seed P</t>
  </si>
  <si>
    <t>Terra Professional Plus</t>
  </si>
  <si>
    <t>Terra Professional</t>
  </si>
  <si>
    <t>Professional Growmix</t>
  </si>
  <si>
    <t>GROW ORGANIC LIGHT-MIX ERDE</t>
  </si>
  <si>
    <t>GROW ORGANIC LIGHT-MIX AUSSAATERDE</t>
  </si>
  <si>
    <t>Light Mix</t>
  </si>
  <si>
    <t>Lightmix</t>
  </si>
  <si>
    <t>SUPERLIGHTMIX 3.0</t>
  </si>
  <si>
    <t>SUPERLIGHTMIX 2.0</t>
  </si>
  <si>
    <t>Flooradur A MT Block Hi-Cube</t>
  </si>
  <si>
    <t>TKS 2</t>
  </si>
  <si>
    <t>Anbaumedium</t>
  </si>
  <si>
    <t>Substrat</t>
  </si>
  <si>
    <t>N</t>
  </si>
  <si>
    <t>mg/L</t>
  </si>
  <si>
    <t>Gesamt</t>
  </si>
  <si>
    <t>mg/Pot</t>
  </si>
  <si>
    <t>Düngerbedarf</t>
  </si>
  <si>
    <t>130–260 mg L−1 [N]</t>
  </si>
  <si>
    <t>30–90 mg L−1 [P]</t>
  </si>
  <si>
    <t>175-240 mg L−1 [K]</t>
  </si>
  <si>
    <t>35–70 mg L−1 [Mg]</t>
  </si>
  <si>
    <t>Genotypischer Bedarf in der Lösung</t>
  </si>
  <si>
    <t>CO2 add 34%</t>
  </si>
  <si>
    <t>Wachstumsverlauf</t>
  </si>
  <si>
    <t>Begin</t>
  </si>
  <si>
    <t>Ende</t>
  </si>
  <si>
    <t>Stretch</t>
  </si>
  <si>
    <t>Gesamtmengen</t>
  </si>
  <si>
    <t>Kalzium / Mag</t>
  </si>
  <si>
    <t>Blattstiele werden Violet PK</t>
  </si>
  <si>
    <t>Dark</t>
  </si>
  <si>
    <t>Purple Kush</t>
  </si>
  <si>
    <t>Blimburn Seeds</t>
  </si>
  <si>
    <t>Purple</t>
  </si>
  <si>
    <t>Red</t>
  </si>
  <si>
    <t>Red+Black</t>
  </si>
  <si>
    <t>Zombie Death Fuck</t>
  </si>
  <si>
    <t>Umtopfen in 11 Liter Erde Knoten 3-4 ist da.</t>
  </si>
  <si>
    <t>Berechnung aus den Voreinstellung</t>
  </si>
  <si>
    <t>Sorteneinstellung</t>
  </si>
  <si>
    <t>Blütestart verschieben um</t>
  </si>
  <si>
    <t>Erweiterte Einstellung</t>
  </si>
  <si>
    <t>Grundeinstellungen</t>
  </si>
  <si>
    <t>Zur klärung des Düngebedarf die Substrat mengen einbeziehen im gesamten verlauf</t>
  </si>
  <si>
    <t>Moby Dick</t>
  </si>
  <si>
    <t>Green</t>
  </si>
  <si>
    <t>Blütephase min</t>
  </si>
  <si>
    <t>Blütephase max</t>
  </si>
  <si>
    <t>Vegitationphase Ende</t>
  </si>
  <si>
    <t>Gesamtdauer</t>
  </si>
  <si>
    <t>Nur noch Wasser</t>
  </si>
  <si>
    <t>Datum Sämmling in 1 Liter Topf</t>
  </si>
  <si>
    <r>
      <t>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[ppm]</t>
    </r>
  </si>
  <si>
    <t>Beschneiden</t>
  </si>
  <si>
    <t>VEG I</t>
  </si>
  <si>
    <t>VEG II - GEN IV</t>
  </si>
  <si>
    <t>Knoten-10 zeigt sich Pflanzhöhe 25-35cm</t>
  </si>
  <si>
    <t>PK Extra</t>
  </si>
  <si>
    <t>Ernte Fenster</t>
  </si>
  <si>
    <t>Growleitfaden: cannabisgenotyperegistry.com</t>
  </si>
  <si>
    <t>Wasseranalyse</t>
  </si>
  <si>
    <t>°dKH Karbonathärte</t>
  </si>
  <si>
    <t>Carbonathärte</t>
  </si>
  <si>
    <t>Hier sind die Werte für die Dropdownfelder</t>
  </si>
  <si>
    <t>Wasseranalyse Karbonathärte</t>
  </si>
  <si>
    <t>Version 1.2.1</t>
  </si>
  <si>
    <t>SWS85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</si>
</sst>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mg&quot;"/>
    <numFmt numFmtId="165" formatCode="0.0"/>
  </numFmts>
  <fonts count="28" x14ac:knownFonts="1">
    <font>
      <sz val="11"/>
      <color theme="1"/>
      <name val="Arial Nova Cond Light"/>
      <family val="2"/>
      <scheme val="minor"/>
    </font>
    <font>
      <sz val="11"/>
      <color theme="1"/>
      <name val="Arial Nova Cond Light"/>
      <family val="2"/>
      <scheme val="minor"/>
    </font>
    <font>
      <b/>
      <sz val="15"/>
      <color theme="3"/>
      <name val="Arial Nova Cond Light"/>
      <family val="2"/>
      <scheme val="minor"/>
    </font>
    <font>
      <b/>
      <sz val="13"/>
      <color theme="3"/>
      <name val="Arial Nova Cond Light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Nova Cond Light"/>
      <family val="2"/>
      <scheme val="minor"/>
    </font>
    <font>
      <b/>
      <sz val="11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rial Nova Cond Light"/>
      <family val="2"/>
      <scheme val="minor"/>
    </font>
    <font>
      <sz val="9"/>
      <color theme="1"/>
      <name val="Arial Nova Cond Light"/>
      <family val="2"/>
      <scheme val="minor"/>
    </font>
    <font>
      <sz val="11"/>
      <color theme="8" tint="-0.249977111117893"/>
      <name val="Arial Nova Cond Light"/>
      <family val="2"/>
      <scheme val="minor"/>
    </font>
    <font>
      <b/>
      <sz val="13"/>
      <color theme="1" tint="0.34998626667073579"/>
      <name val="Arial Narrow"/>
      <family val="2"/>
    </font>
    <font>
      <b/>
      <sz val="36"/>
      <color theme="2" tint="-0.499984740745262"/>
      <name val="Arial Narrow"/>
      <family val="2"/>
    </font>
    <font>
      <b/>
      <sz val="24"/>
      <color theme="2" tint="-0.499984740745262"/>
      <name val="Arial Narrow"/>
      <family val="2"/>
    </font>
    <font>
      <b/>
      <sz val="11"/>
      <color theme="1"/>
      <name val="Arial Nova Cond Light"/>
      <family val="2"/>
      <scheme val="minor"/>
    </font>
    <font>
      <sz val="14"/>
      <color theme="1"/>
      <name val="Arial Nova"/>
      <family val="2"/>
      <scheme val="major"/>
    </font>
    <font>
      <vertAlign val="subscript"/>
      <sz val="11"/>
      <color theme="1"/>
      <name val="Arial Nova Cond Light"/>
      <family val="2"/>
      <scheme val="minor"/>
    </font>
    <font>
      <b/>
      <sz val="11"/>
      <color theme="1" tint="0.499984740745262"/>
      <name val="Arial Nova Cond Light"/>
      <family val="2"/>
      <scheme val="minor"/>
    </font>
    <font>
      <b/>
      <sz val="11"/>
      <color theme="0"/>
      <name val="Arial Nova Cond Light"/>
      <family val="2"/>
      <scheme val="minor"/>
    </font>
    <font>
      <b/>
      <sz val="20"/>
      <color theme="1"/>
      <name val="Arial Nova"/>
      <family val="2"/>
      <scheme val="major"/>
    </font>
    <font>
      <sz val="11"/>
      <color theme="2" tint="-0.499984740745262"/>
      <name val="Arial Nova Cond Light"/>
      <family val="2"/>
      <scheme val="minor"/>
    </font>
    <font>
      <sz val="24"/>
      <color theme="1"/>
      <name val="Aharoni"/>
      <charset val="177"/>
    </font>
    <font>
      <sz val="8"/>
      <color theme="1"/>
      <name val="Arial"/>
      <family val="2"/>
    </font>
    <font>
      <vertAlign val="subscript"/>
      <sz val="8"/>
      <color theme="1"/>
      <name val="Arial"/>
      <family val="2"/>
    </font>
    <font>
      <sz val="8"/>
      <color theme="3" tint="0.499984740745262"/>
      <name val="Arial"/>
      <family val="2"/>
    </font>
    <font>
      <b/>
      <sz val="8"/>
      <color theme="3" tint="0.499984740745262"/>
      <name val="Arial"/>
      <family val="2"/>
    </font>
    <font>
      <sz val="8"/>
      <color theme="3" tint="0.499984740745262"/>
      <name val="Arial Nova Cond Ligh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92D050"/>
      </bottom>
      <diagonal/>
    </border>
    <border>
      <left/>
      <right/>
      <top/>
      <bottom style="thick">
        <color rgb="FF92D05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1">
    <xf numFmtId="0" fontId="0" fillId="0" borderId="0" xfId="0"/>
    <xf numFmtId="0" fontId="0" fillId="0" borderId="22" xfId="0" applyBorder="1"/>
    <xf numFmtId="0" fontId="16" fillId="0" borderId="23" xfId="0" applyFont="1" applyBorder="1"/>
    <xf numFmtId="0" fontId="0" fillId="0" borderId="23" xfId="0" applyBorder="1"/>
    <xf numFmtId="0" fontId="9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  <xf numFmtId="1" fontId="15" fillId="4" borderId="0" xfId="0" applyNumberFormat="1" applyFont="1" applyFill="1" applyAlignment="1">
      <alignment horizontal="right"/>
    </xf>
    <xf numFmtId="2" fontId="0" fillId="0" borderId="2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15" fillId="0" borderId="3" xfId="0" applyFont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2" fillId="0" borderId="0" xfId="2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9" fillId="5" borderId="0" xfId="0" applyFont="1" applyFill="1"/>
    <xf numFmtId="0" fontId="20" fillId="0" borderId="23" xfId="0" applyFont="1" applyBorder="1"/>
    <xf numFmtId="0" fontId="21" fillId="0" borderId="0" xfId="0" applyFont="1"/>
    <xf numFmtId="0" fontId="21" fillId="0" borderId="0" xfId="0" applyFont="1" applyAlignment="1">
      <alignment horizontal="right"/>
    </xf>
    <xf numFmtId="0" fontId="18" fillId="4" borderId="0" xfId="0" applyFont="1" applyFill="1" applyAlignment="1">
      <alignment horizontal="center"/>
    </xf>
    <xf numFmtId="14" fontId="15" fillId="4" borderId="0" xfId="0" applyNumberFormat="1" applyFont="1" applyFill="1" applyAlignment="1">
      <alignment horizontal="center"/>
    </xf>
    <xf numFmtId="165" fontId="21" fillId="0" borderId="0" xfId="0" applyNumberFormat="1" applyFont="1" applyAlignment="1">
      <alignment horizontal="right"/>
    </xf>
    <xf numFmtId="0" fontId="22" fillId="0" borderId="0" xfId="0" applyFont="1"/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3" fillId="0" borderId="9" xfId="0" applyFont="1" applyBorder="1" applyAlignment="1">
      <alignment horizontal="center" vertical="center" textRotation="90" wrapText="1"/>
    </xf>
    <xf numFmtId="0" fontId="23" fillId="0" borderId="10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8" xfId="0" applyFont="1" applyBorder="1" applyAlignment="1">
      <alignment horizontal="center" vertical="center" textRotation="90" wrapText="1"/>
    </xf>
    <xf numFmtId="0" fontId="23" fillId="0" borderId="9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 indent="1"/>
    </xf>
    <xf numFmtId="0" fontId="4" fillId="6" borderId="3" xfId="0" applyFont="1" applyFill="1" applyBorder="1" applyAlignment="1">
      <alignment horizontal="center" vertical="center" textRotation="90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6" xfId="0" applyFill="1" applyBorder="1" applyAlignment="1">
      <alignment horizontal="right" vertical="center"/>
    </xf>
    <xf numFmtId="165" fontId="0" fillId="6" borderId="16" xfId="0" applyNumberForma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textRotation="90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right" vertical="center"/>
    </xf>
    <xf numFmtId="0" fontId="5" fillId="6" borderId="0" xfId="0" applyFont="1" applyFill="1" applyAlignment="1">
      <alignment horizontal="center" vertical="center" textRotation="90"/>
    </xf>
    <xf numFmtId="0" fontId="7" fillId="6" borderId="0" xfId="0" applyFont="1" applyFill="1" applyAlignment="1">
      <alignment horizontal="center" vertical="center"/>
    </xf>
    <xf numFmtId="0" fontId="4" fillId="6" borderId="24" xfId="0" applyFont="1" applyFill="1" applyBorder="1" applyAlignment="1">
      <alignment horizontal="right" vertical="center"/>
    </xf>
    <xf numFmtId="0" fontId="2" fillId="6" borderId="1" xfId="1" applyFill="1" applyAlignment="1">
      <alignment horizontal="center" vertical="center" textRotation="90"/>
    </xf>
    <xf numFmtId="0" fontId="2" fillId="6" borderId="1" xfId="1" applyFill="1" applyAlignment="1">
      <alignment horizontal="left"/>
    </xf>
    <xf numFmtId="14" fontId="2" fillId="6" borderId="1" xfId="1" applyNumberFormat="1" applyFill="1"/>
    <xf numFmtId="0" fontId="2" fillId="6" borderId="1" xfId="1" applyFill="1" applyAlignment="1">
      <alignment horizontal="center"/>
    </xf>
    <xf numFmtId="0" fontId="25" fillId="6" borderId="0" xfId="0" applyFont="1" applyFill="1" applyAlignment="1">
      <alignment horizontal="left" vertical="center" textRotation="90"/>
    </xf>
    <xf numFmtId="0" fontId="25" fillId="6" borderId="0" xfId="0" applyFont="1" applyFill="1" applyAlignment="1">
      <alignment horizontal="left" vertical="center"/>
    </xf>
    <xf numFmtId="16" fontId="26" fillId="6" borderId="0" xfId="0" applyNumberFormat="1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4" fontId="25" fillId="6" borderId="0" xfId="0" applyNumberFormat="1" applyFont="1" applyFill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4" fontId="6" fillId="6" borderId="4" xfId="3" applyNumberFormat="1" applyFont="1" applyFill="1" applyBorder="1" applyAlignment="1">
      <alignment horizontal="center" vertical="center"/>
    </xf>
    <xf numFmtId="16" fontId="6" fillId="6" borderId="4" xfId="4" applyNumberFormat="1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textRotation="90"/>
    </xf>
  </cellXfs>
  <cellStyles count="5">
    <cellStyle name="20 % - Akzent1" xfId="3" builtinId="30"/>
    <cellStyle name="20 % - Akzent4" xfId="4" builtinId="42"/>
    <cellStyle name="Standard" xfId="0" builtinId="0"/>
    <cellStyle name="Überschrift 1" xfId="1" builtinId="16"/>
    <cellStyle name="Überschrift 2" xfId="2" builtinId="17"/>
  </cellStyles>
  <dxfs count="26">
    <dxf>
      <fill>
        <patternFill patternType="lightUp">
          <fgColor rgb="FFFFC000"/>
        </patternFill>
      </fill>
    </dxf>
    <dxf>
      <fill>
        <patternFill patternType="lightUp">
          <fgColor theme="3" tint="0.499984740745262"/>
        </patternFill>
      </fill>
    </dxf>
    <dxf>
      <fill>
        <patternFill patternType="lightUp">
          <fgColor theme="3"/>
        </patternFill>
      </fill>
    </dxf>
    <dxf>
      <fill>
        <patternFill patternType="lightUp">
          <fgColor rgb="FFFF0000"/>
        </patternFill>
      </fill>
    </dxf>
    <dxf>
      <fill>
        <patternFill patternType="lightDown">
          <fgColor rgb="FF92D050"/>
        </patternFill>
      </fill>
    </dxf>
    <dxf>
      <fill>
        <patternFill>
          <bgColor rgb="FFFF0000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Zeitlicherverlauf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Grundeinstellung!$A$33:$B$38</c15:sqref>
                  </c15:fullRef>
                </c:ext>
              </c:extLst>
              <c:f>Grundeinstellung!$A$33:$B$37</c:f>
              <c:multiLvlStrCache>
                <c:ptCount val="5"/>
                <c:lvl>
                  <c:pt idx="0">
                    <c:v>27.08.2025</c:v>
                  </c:pt>
                  <c:pt idx="1">
                    <c:v>17.09.2025</c:v>
                  </c:pt>
                  <c:pt idx="2">
                    <c:v>05.11.2025</c:v>
                  </c:pt>
                  <c:pt idx="3">
                    <c:v>29.10.2025</c:v>
                  </c:pt>
                  <c:pt idx="4">
                    <c:v>19.11.2025</c:v>
                  </c:pt>
                </c:lvl>
                <c:lvl>
                  <c:pt idx="0">
                    <c:v>Anfang</c:v>
                  </c:pt>
                  <c:pt idx="1">
                    <c:v>Vegitationphase Ende</c:v>
                  </c:pt>
                  <c:pt idx="2">
                    <c:v>Blütephase min</c:v>
                  </c:pt>
                  <c:pt idx="3">
                    <c:v>Nur noch Wasser</c:v>
                  </c:pt>
                  <c:pt idx="4">
                    <c:v>Blütephase max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Grundeinstellung!$C$33:$C$38</c15:sqref>
                  </c15:fullRef>
                </c:ext>
              </c:extLst>
              <c:f>Grundeinstellung!$C$33:$C$37</c:f>
              <c:numCache>
                <c:formatCode>0</c:formatCode>
                <c:ptCount val="5"/>
                <c:pt idx="0" formatCode="General">
                  <c:v>1</c:v>
                </c:pt>
                <c:pt idx="1">
                  <c:v>21</c:v>
                </c:pt>
                <c:pt idx="2">
                  <c:v>70</c:v>
                </c:pt>
                <c:pt idx="3">
                  <c:v>63</c:v>
                </c:pt>
                <c:pt idx="4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A4-4174-B7B9-E57B61712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39756432"/>
        <c:axId val="1439762672"/>
      </c:lineChart>
      <c:catAx>
        <c:axId val="14397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9762672"/>
        <c:crosses val="autoZero"/>
        <c:auto val="1"/>
        <c:lblAlgn val="ctr"/>
        <c:lblOffset val="100"/>
        <c:noMultiLvlLbl val="0"/>
      </c:catAx>
      <c:valAx>
        <c:axId val="143976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97564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Grundeinstellung!$A$51:$A$54</c:f>
              <c:strCache>
                <c:ptCount val="4"/>
                <c:pt idx="0">
                  <c:v>N</c:v>
                </c:pt>
                <c:pt idx="1">
                  <c:v>P</c:v>
                </c:pt>
                <c:pt idx="2">
                  <c:v>K</c:v>
                </c:pt>
                <c:pt idx="3">
                  <c:v>Mg</c:v>
                </c:pt>
              </c:strCache>
            </c:strRef>
          </c:cat>
          <c:val>
            <c:numRef>
              <c:f>Grundeinstellung!$B$51:$B$54</c:f>
              <c:numCache>
                <c:formatCode>General</c:formatCode>
                <c:ptCount val="4"/>
                <c:pt idx="0">
                  <c:v>1540</c:v>
                </c:pt>
                <c:pt idx="1">
                  <c:v>880</c:v>
                </c:pt>
                <c:pt idx="2">
                  <c:v>2090</c:v>
                </c:pt>
                <c:pt idx="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6-4E6E-B6AF-D18818A1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3647040"/>
        <c:axId val="1763647520"/>
      </c:barChart>
      <c:catAx>
        <c:axId val="1763647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3647520"/>
        <c:crosses val="autoZero"/>
        <c:auto val="1"/>
        <c:lblAlgn val="ctr"/>
        <c:lblOffset val="100"/>
        <c:tickMarkSkip val="1"/>
        <c:noMultiLvlLbl val="0"/>
      </c:catAx>
      <c:valAx>
        <c:axId val="1763647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364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</xdr:colOff>
      <xdr:row>31</xdr:row>
      <xdr:rowOff>180974</xdr:rowOff>
    </xdr:from>
    <xdr:to>
      <xdr:col>8</xdr:col>
      <xdr:colOff>742949</xdr:colOff>
      <xdr:row>44</xdr:row>
      <xdr:rowOff>104774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832F2D7-54C4-AC99-1265-758C92FD8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50</xdr:row>
      <xdr:rowOff>19050</xdr:rowOff>
    </xdr:from>
    <xdr:to>
      <xdr:col>8</xdr:col>
      <xdr:colOff>733425</xdr:colOff>
      <xdr:row>55</xdr:row>
      <xdr:rowOff>200025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9D94486-EF0B-1303-1EC6-455DCA14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6804</xdr:colOff>
      <xdr:row>7</xdr:row>
      <xdr:rowOff>216353</xdr:rowOff>
    </xdr:from>
    <xdr:to>
      <xdr:col>17</xdr:col>
      <xdr:colOff>229961</xdr:colOff>
      <xdr:row>9</xdr:row>
      <xdr:rowOff>12246</xdr:rowOff>
    </xdr:to>
    <xdr:pic>
      <xdr:nvPicPr>
        <xdr:cNvPr id="2" name="Grafik 1" descr="Pflanze Silhouette">
          <a:extLst>
            <a:ext uri="{FF2B5EF4-FFF2-40B4-BE49-F238E27FC236}">
              <a16:creationId xmlns:a16="http://schemas.microsoft.com/office/drawing/2014/main" id="{33754589-D5E2-428F-A619-8E2EBE73A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36504" y="1845128"/>
          <a:ext cx="223157" cy="253093"/>
        </a:xfrm>
        <a:prstGeom prst="rect">
          <a:avLst/>
        </a:prstGeom>
      </xdr:spPr>
    </xdr:pic>
    <xdr:clientData/>
  </xdr:twoCellAnchor>
  <xdr:twoCellAnchor editAs="oneCell">
    <xdr:from>
      <xdr:col>18</xdr:col>
      <xdr:colOff>27537</xdr:colOff>
      <xdr:row>7</xdr:row>
      <xdr:rowOff>217714</xdr:rowOff>
    </xdr:from>
    <xdr:to>
      <xdr:col>19</xdr:col>
      <xdr:colOff>1285</xdr:colOff>
      <xdr:row>9</xdr:row>
      <xdr:rowOff>3041</xdr:rowOff>
    </xdr:to>
    <xdr:pic>
      <xdr:nvPicPr>
        <xdr:cNvPr id="3" name="Grafik 2" descr="Blume Silhouette">
          <a:extLst>
            <a:ext uri="{FF2B5EF4-FFF2-40B4-BE49-F238E27FC236}">
              <a16:creationId xmlns:a16="http://schemas.microsoft.com/office/drawing/2014/main" id="{1C698757-F570-45DB-8E47-0E90DD4B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304887" y="1846489"/>
          <a:ext cx="240448" cy="24252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26961679-B9D0-45B6-938C-4ABC4519E702}" autoFormatId="16" applyNumberFormats="0" applyBorderFormats="0" applyFontFormats="0" applyPatternFormats="0" applyAlignmentFormats="0" applyWidthHeightFormats="0">
  <queryTableRefresh nextId="22">
    <queryTableFields count="21">
      <queryTableField id="1" name="Name" tableColumnId="1"/>
      <queryTableField id="2" name="Verkäufer" tableColumnId="2"/>
      <queryTableField id="3" name="Hersteller" tableColumnId="3"/>
      <queryTableField id="4" name="Blütezeit / Tage" tableColumnId="4"/>
      <queryTableField id="5" name="Ertrag / m²" tableColumnId="5"/>
      <queryTableField id="6" name="THC" tableColumnId="6"/>
      <queryTableField id="7" name="Feminisiert" tableColumnId="7"/>
      <queryTableField id="8" name="Automatik" tableColumnId="8"/>
      <queryTableField id="9" name="Größe" tableColumnId="9"/>
      <queryTableField id="10" name="Sativa" tableColumnId="10"/>
      <queryTableField id="11" name="Indica" tableColumnId="11"/>
      <queryTableField id="12" name="Ruderalis" tableColumnId="12"/>
      <queryTableField id="13" name="Stretch Faktor" tableColumnId="13"/>
      <queryTableField id="14" name="Blütenfarbe" tableColumnId="14"/>
      <queryTableField id="15" name="Ertrag zu Blütetag" tableColumnId="15"/>
      <queryTableField id="16" name="Max" tableColumnId="16"/>
      <queryTableField id="17" name="Technik" tableColumnId="17"/>
      <queryTableField id="18" name="Topf / L" tableColumnId="18"/>
      <queryTableField id="19" name="Preis 10" tableColumnId="19"/>
      <queryTableField id="20" name="Rounds" tableColumnId="20"/>
      <queryTableField id="21" name="SizeToBloom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4EBF8929-C74B-4254-80CE-877FD3E4ABD7}" autoFormatId="16" applyNumberFormats="0" applyBorderFormats="0" applyFontFormats="0" applyPatternFormats="0" applyAlignmentFormats="0" applyWidthHeightFormats="0">
  <queryTableRefresh nextId="38">
    <queryTableFields count="36">
      <queryTableField id="1" name="Name" tableColumnId="1"/>
      <queryTableField id="2" name="Hersteller" tableColumnId="2"/>
      <queryTableField id="3" name="Verwendung" tableColumnId="3"/>
      <queryTableField id="4" name="Salz g/l" tableColumnId="4"/>
      <queryTableField id="5" name="EC mS/cm" tableColumnId="5"/>
      <queryTableField id="6" name="ph" tableColumnId="6"/>
      <queryTableField id="7" name="[CaCl2]" tableColumnId="7"/>
      <queryTableField id="8" name="[P2O2]" tableColumnId="8"/>
      <queryTableField id="9" name="[K2O]" tableColumnId="9"/>
      <queryTableField id="10" name="[Mg]" tableColumnId="10"/>
      <queryTableField id="36" name="Perlite" tableColumnId="36"/>
      <queryTableField id="11" name="Bochmoortorf H6-H8" tableColumnId="11"/>
      <queryTableField id="12" name="Weisstorf H3-H4" tableColumnId="12"/>
      <queryTableField id="13" name="Schwarztorf H4-H7" tableColumnId="13"/>
      <queryTableField id="14" name="NH4" tableColumnId="14"/>
      <queryTableField id="15" name="K" tableColumnId="15"/>
      <queryTableField id="16" name="Na" tableColumnId="16"/>
      <queryTableField id="17" name="Ca" tableColumnId="17"/>
      <queryTableField id="18" name="NO3" tableColumnId="18"/>
      <queryTableField id="19" name="CL" tableColumnId="19"/>
      <queryTableField id="20" name="SO4" tableColumnId="20"/>
      <queryTableField id="21" name="HCO3" tableColumnId="21"/>
      <queryTableField id="22" name="P" tableColumnId="22"/>
      <queryTableField id="23" name="Si" tableColumnId="23"/>
      <queryTableField id="24" name="Fe" tableColumnId="24"/>
      <queryTableField id="25" name="Mn" tableColumnId="25"/>
      <queryTableField id="26" name="Zn" tableColumnId="26"/>
      <queryTableField id="27" name="B" tableColumnId="27"/>
      <queryTableField id="28" name="Cu" tableColumnId="28"/>
      <queryTableField id="29" name="Mo" tableColumnId="29"/>
      <queryTableField id="30" name="CEC" tableColumnId="30"/>
      <queryTableField id="31" name="Netzmittel" tableColumnId="31"/>
      <queryTableField id="32" name="C:N Verhältnis" tableColumnId="32"/>
      <queryTableField id="33" name="K:Mg Verhältnis" tableColumnId="33"/>
      <queryTableField id="34" name="Ca:Mg Verhältnis" tableColumnId="34"/>
      <queryTableField id="35" name="Strucktur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DB2189C-B565-4DCF-B413-40DB643235BA}" autoFormatId="16" applyNumberFormats="0" applyBorderFormats="0" applyFontFormats="0" applyPatternFormats="0" applyAlignmentFormats="0" applyWidthHeightFormats="0">
  <queryTableRefresh nextId="41">
    <queryTableFields count="39">
      <queryTableField id="1" name="Hersteller" tableColumnId="1"/>
      <queryTableField id="2" name="Produktname" tableColumnId="2"/>
      <queryTableField id="39" name="Volldünger" tableColumnId="39"/>
      <queryTableField id="3" name="Zierpfl." tableColumnId="3"/>
      <queryTableField id="4" name="Gemüse" tableColumnId="4"/>
      <queryTableField id="5" name="Obst" tableColumnId="5"/>
      <queryTableField id="6" name="Harnst." tableColumnId="6"/>
      <queryTableField id="7" name="Stickstoffgverteilung" tableColumnId="7"/>
      <queryTableField id="8" name="Nitrat-N-Gewichtung" tableColumnId="8"/>
      <queryTableField id="9" name="Wasser" tableColumnId="9"/>
      <queryTableField id="10" name="NO3" tableColumnId="10"/>
      <queryTableField id="11" name="NH4" tableColumnId="11"/>
      <queryTableField id="12" name="ges.N" tableColumnId="12"/>
      <queryTableField id="13" name="P2O5" tableColumnId="13"/>
      <queryTableField id="14" name="K2O" tableColumnId="14"/>
      <queryTableField id="15" name="MgO" tableColumnId="15"/>
      <queryTableField id="16" name="CaO" tableColumnId="16"/>
      <queryTableField id="17" name="SO4" tableColumnId="17"/>
      <queryTableField id="18" name="Fe" tableColumnId="18"/>
      <queryTableField id="19" name="Mn" tableColumnId="19"/>
      <queryTableField id="20" name="Zn" tableColumnId="20"/>
      <queryTableField id="21" name="B" tableColumnId="21"/>
      <queryTableField id="22" name="Cu" tableColumnId="22"/>
      <queryTableField id="23" name="Mo" tableColumnId="23"/>
      <queryTableField id="24" name="Al" tableColumnId="24"/>
      <queryTableField id="25" name="Spalte1" tableColumnId="25"/>
      <queryTableField id="26" name="g/L" tableColumnId="26"/>
      <queryTableField id="27" name="0,5 ‰" tableColumnId="27"/>
      <queryTableField id="28" name="1,0 ‰" tableColumnId="28"/>
      <queryTableField id="29" name="1,5 ‰" tableColumnId="29"/>
      <queryTableField id="30" name="2,0 ‰" tableColumnId="30"/>
      <queryTableField id="31" name="1%" tableColumnId="31"/>
      <queryTableField id="32" name="5%" tableColumnId="32"/>
      <queryTableField id="33" name="10%" tableColumnId="33"/>
      <queryTableField id="34" name="20%" tableColumnId="34"/>
      <queryTableField id="35" name="100%" tableColumnId="35"/>
      <queryTableField id="36" name="Trockenstoffe" tableColumnId="36"/>
      <queryTableField id="37" name="Wasser2" tableColumnId="37"/>
      <queryTableField id="38" name="Datum" tableColumnId="3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3716B6-DC61-4F35-834F-17D0F9DF63E0}" name="Tabelle4" displayName="Tabelle4" ref="A6:A146" totalsRowShown="0">
  <autoFilter ref="A6:A146" xr:uid="{F23716B6-DC61-4F35-834F-17D0F9DF63E0}"/>
  <tableColumns count="1">
    <tableColumn id="1" xr3:uid="{F65EED8B-FF86-4EB4-ABC0-8326054FCBB4}" name="Carbonathärte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08DBF-EDB0-4977-8A4C-EFD3A547DFB9}" name="SortenTabelle" displayName="SortenTabelle" ref="A1:U207" tableType="queryTable" totalsRowShown="0">
  <autoFilter ref="A1:U207" xr:uid="{FF908DBF-EDB0-4977-8A4C-EFD3A547DFB9}"/>
  <sortState xmlns:xlrd2="http://schemas.microsoft.com/office/spreadsheetml/2017/richdata2" ref="A2:U207">
    <sortCondition ref="A1:A207"/>
  </sortState>
  <tableColumns count="21">
    <tableColumn id="1" xr3:uid="{13217F6F-B440-462D-A6B5-7BB6D84818DC}" uniqueName="1" name="Name" queryTableFieldId="1" dataDxfId="24"/>
    <tableColumn id="2" xr3:uid="{7FFA8EC6-84B1-4920-A40E-E462EAC3F97F}" uniqueName="2" name="Verkäufer" queryTableFieldId="2" dataDxfId="23"/>
    <tableColumn id="3" xr3:uid="{4C4A009F-A74D-4F83-9F81-D8AFE5046D46}" uniqueName="3" name="Hersteller" queryTableFieldId="3" dataDxfId="22"/>
    <tableColumn id="4" xr3:uid="{3E2D16F2-F66D-42BC-93D8-44A60D4D7FFF}" uniqueName="4" name="Blütezeit / Tage" queryTableFieldId="4"/>
    <tableColumn id="5" xr3:uid="{986613BC-7EE0-4E36-BBF8-609401E35CCE}" uniqueName="5" name="Ertrag / m²" queryTableFieldId="5"/>
    <tableColumn id="6" xr3:uid="{3E7BAFBE-0DE8-45B9-8030-C8740F67A26D}" uniqueName="6" name="THC" queryTableFieldId="6"/>
    <tableColumn id="7" xr3:uid="{0BC1371B-6F76-4B9E-AFA9-77DEA40EE243}" uniqueName="7" name="Feminisiert" queryTableFieldId="7" dataDxfId="21"/>
    <tableColumn id="8" xr3:uid="{A80AA2BD-537C-442A-90D2-4FAED0F1EFE0}" uniqueName="8" name="Automatik" queryTableFieldId="8" dataDxfId="20"/>
    <tableColumn id="9" xr3:uid="{9326A753-BC00-4FF4-A1D7-1DC6EFE5837A}" uniqueName="9" name="Größe" queryTableFieldId="9"/>
    <tableColumn id="10" xr3:uid="{D5992F81-83CF-4FFA-997C-2A4D40D30258}" uniqueName="10" name="Sativa" queryTableFieldId="10"/>
    <tableColumn id="11" xr3:uid="{A7C0159F-FC89-4A6B-8712-D517C997EB58}" uniqueName="11" name="Indica" queryTableFieldId="11"/>
    <tableColumn id="12" xr3:uid="{411A05EA-84DB-40E7-941C-5817E8DB8F44}" uniqueName="12" name="Ruderalis" queryTableFieldId="12"/>
    <tableColumn id="13" xr3:uid="{01E3D253-AC01-4A88-9044-678D028722C8}" uniqueName="13" name="Stretch Faktor" queryTableFieldId="13"/>
    <tableColumn id="14" xr3:uid="{7A093790-FC4C-4301-9C96-4FA0216FBEB9}" uniqueName="14" name="Blütenfarbe" queryTableFieldId="14" dataDxfId="19"/>
    <tableColumn id="15" xr3:uid="{E8AA7147-73F4-4AE9-923F-C5FE04CA7981}" uniqueName="15" name="Ertrag zu Blütetag" queryTableFieldId="15"/>
    <tableColumn id="16" xr3:uid="{68C02C41-8E61-42B0-855D-3CA6EA74FD1B}" uniqueName="16" name="Max" queryTableFieldId="16"/>
    <tableColumn id="17" xr3:uid="{894E3ED2-F7EA-42F2-913F-4C8D0A263A41}" uniqueName="17" name="Technik" queryTableFieldId="17" dataDxfId="18"/>
    <tableColumn id="18" xr3:uid="{68CA01E5-4AED-4B76-A0D7-E7EBE6A1EC97}" uniqueName="18" name="Topf / L" queryTableFieldId="18"/>
    <tableColumn id="19" xr3:uid="{02633E42-32C2-422F-8DAF-0D947381AC34}" uniqueName="19" name="Preis 10" queryTableFieldId="19"/>
    <tableColumn id="20" xr3:uid="{A20F39B2-B193-496C-87C6-986553E68E09}" uniqueName="20" name="Rounds" queryTableFieldId="20"/>
    <tableColumn id="21" xr3:uid="{2057B8C8-CAA3-49E5-A223-5A95CF81C33D}" uniqueName="21" name="SizeToBloom" queryTableField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EAA3EB-9BC9-4B9C-A834-6DD197605CFF}" name="Substrate_tabelle" displayName="Substrate_tabelle" ref="A1:AJ34" tableType="queryTable" totalsRowShown="0">
  <autoFilter ref="A1:AJ34" xr:uid="{9EEAA3EB-9BC9-4B9C-A834-6DD197605CFF}"/>
  <tableColumns count="36">
    <tableColumn id="1" xr3:uid="{D960654E-AD6B-4190-8177-35870843E8F7}" uniqueName="1" name="Name" queryTableFieldId="1" dataDxfId="17"/>
    <tableColumn id="2" xr3:uid="{C6788D58-ACDE-4059-B687-B81BE38D268A}" uniqueName="2" name="Hersteller" queryTableFieldId="2" dataDxfId="16"/>
    <tableColumn id="3" xr3:uid="{0B2A7A69-CBFA-481E-9218-1A0465987F6B}" uniqueName="3" name="Verwendung" queryTableFieldId="3" dataDxfId="15"/>
    <tableColumn id="4" xr3:uid="{1379C58D-E9D7-4356-B5BE-5CF2F7096AF7}" uniqueName="4" name="Salz g/l" queryTableFieldId="4"/>
    <tableColumn id="5" xr3:uid="{BCFC49BD-39C0-4A7D-948B-2F4C2E605C1A}" uniqueName="5" name="EC mS/cm" queryTableFieldId="5"/>
    <tableColumn id="6" xr3:uid="{3466521F-A0A9-4A95-996A-C5DA978AD965}" uniqueName="6" name="ph" queryTableFieldId="6"/>
    <tableColumn id="7" xr3:uid="{F293D837-938C-4829-BCE4-DB03540B26B1}" uniqueName="7" name="[CaCl2]" queryTableFieldId="7"/>
    <tableColumn id="8" xr3:uid="{27548CCF-751A-4CFD-8D0F-7B6684826300}" uniqueName="8" name="[P2O2]" queryTableFieldId="8"/>
    <tableColumn id="9" xr3:uid="{DD3609DB-BB56-4A93-88BF-6E563433D497}" uniqueName="9" name="[K2O]" queryTableFieldId="9"/>
    <tableColumn id="10" xr3:uid="{57786C56-675C-4B20-A677-DBC374314DA4}" uniqueName="10" name="[Mg]" queryTableFieldId="10"/>
    <tableColumn id="36" xr3:uid="{026C278B-08BA-422A-8F74-A9CB55565BB9}" uniqueName="36" name="Perlite" queryTableFieldId="36"/>
    <tableColumn id="11" xr3:uid="{E7CCF079-A382-436E-B6D7-F4DAB4462477}" uniqueName="11" name="Bochmoortorf H6-H8" queryTableFieldId="11"/>
    <tableColumn id="12" xr3:uid="{944BB62A-A1D0-4D9A-8B97-CEF81BCBC15C}" uniqueName="12" name="Weisstorf H3-H4" queryTableFieldId="12"/>
    <tableColumn id="13" xr3:uid="{854BC0F3-7894-46DA-AA6C-1241DA3E0407}" uniqueName="13" name="Schwarztorf H4-H7" queryTableFieldId="13"/>
    <tableColumn id="14" xr3:uid="{0E3F82CB-1FDE-4339-97F7-5EFCCE38C8E6}" uniqueName="14" name="NH4" queryTableFieldId="14"/>
    <tableColumn id="15" xr3:uid="{993C17D4-1436-456C-B63C-41677904DBC3}" uniqueName="15" name="K" queryTableFieldId="15"/>
    <tableColumn id="16" xr3:uid="{BE542DC1-01A6-4379-BEE3-100BB626E1C8}" uniqueName="16" name="Na" queryTableFieldId="16"/>
    <tableColumn id="17" xr3:uid="{CB9B4CE5-0076-4895-8B62-F8DA8D7704A6}" uniqueName="17" name="Ca" queryTableFieldId="17"/>
    <tableColumn id="18" xr3:uid="{3DE8F817-ECFA-4154-AEEE-256801886D3E}" uniqueName="18" name="NO3" queryTableFieldId="18"/>
    <tableColumn id="19" xr3:uid="{B96DC828-355A-4A68-9CE6-7301BCBFB0B7}" uniqueName="19" name="CL" queryTableFieldId="19"/>
    <tableColumn id="20" xr3:uid="{D67E85A4-56E1-4832-B4F9-0F9FC1669562}" uniqueName="20" name="SO4" queryTableFieldId="20"/>
    <tableColumn id="21" xr3:uid="{F8C817EF-D5CA-4F71-99FD-3372103F8A90}" uniqueName="21" name="HCO3" queryTableFieldId="21"/>
    <tableColumn id="22" xr3:uid="{856B21C4-05A4-49F3-8640-E70C0F7C7B07}" uniqueName="22" name="P" queryTableFieldId="22"/>
    <tableColumn id="23" xr3:uid="{85599560-B02B-4741-BA77-3D00CEBE8618}" uniqueName="23" name="Si" queryTableFieldId="23"/>
    <tableColumn id="24" xr3:uid="{82EC8422-58FC-4A1F-BB25-E2F480B587C3}" uniqueName="24" name="Fe" queryTableFieldId="24"/>
    <tableColumn id="25" xr3:uid="{52E8FB0B-9B9B-4184-8B0B-FD9BB272F9AF}" uniqueName="25" name="Mn" queryTableFieldId="25"/>
    <tableColumn id="26" xr3:uid="{A11A00D4-4536-4D77-88A5-5918DDA88DC2}" uniqueName="26" name="Zn" queryTableFieldId="26"/>
    <tableColumn id="27" xr3:uid="{5AFC5565-5C3F-4958-83CB-6AAF4FB5C0B6}" uniqueName="27" name="B" queryTableFieldId="27"/>
    <tableColumn id="28" xr3:uid="{6405BEE4-E4EC-4D6D-852F-BE2F703F36DA}" uniqueName="28" name="Cu" queryTableFieldId="28"/>
    <tableColumn id="29" xr3:uid="{C87AADDE-4C7D-42A5-9722-13B4666CA90F}" uniqueName="29" name="Mo" queryTableFieldId="29"/>
    <tableColumn id="30" xr3:uid="{02C6A409-3B97-4582-AB84-74045758B6F1}" uniqueName="30" name="CEC" queryTableFieldId="30"/>
    <tableColumn id="31" xr3:uid="{95886217-C389-401C-A8CB-E0385C964628}" uniqueName="31" name="Netzmittel" queryTableFieldId="31" dataDxfId="14"/>
    <tableColumn id="32" xr3:uid="{4A5E4B61-FDE2-48D7-BB4D-79EA61275B3A}" uniqueName="32" name="C:N Verhältnis" queryTableFieldId="32" dataDxfId="13"/>
    <tableColumn id="33" xr3:uid="{7C7F284A-BC4C-433B-9491-86EC6085A288}" uniqueName="33" name="K:Mg Verhältnis" queryTableFieldId="33"/>
    <tableColumn id="34" xr3:uid="{277475EF-4DBF-49AA-8BC5-3A8F5742CD85}" uniqueName="34" name="Ca:Mg Verhältnis" queryTableFieldId="34"/>
    <tableColumn id="35" xr3:uid="{935D6878-EF1C-4667-91CB-C0812AD45EA8}" uniqueName="35" name="Strucktur" queryTableFieldId="3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244B77-115F-459B-98DC-8B87FAF6BD72}" name="DuengerTabelle" displayName="DuengerTabelle" ref="A1:AM231" tableType="queryTable" totalsRowShown="0">
  <autoFilter ref="A1:AM231" xr:uid="{28244B77-115F-459B-98DC-8B87FAF6BD72}"/>
  <tableColumns count="39">
    <tableColumn id="1" xr3:uid="{A3D3104F-2E4C-4DC3-AC1C-8D30A3518340}" uniqueName="1" name="Hersteller" queryTableFieldId="1" dataDxfId="11"/>
    <tableColumn id="2" xr3:uid="{2C62473F-DFD8-44CD-8F6E-E536A562A190}" uniqueName="2" name="Produktname" queryTableFieldId="2" dataDxfId="10"/>
    <tableColumn id="39" xr3:uid="{98492B48-646F-43FF-A33C-ACC5BE9FC777}" uniqueName="39" name="Volldünger" queryTableFieldId="39"/>
    <tableColumn id="3" xr3:uid="{5E8DB5F3-010B-4E51-B3D6-FB7D4251CEAE}" uniqueName="3" name="Zierpfl." queryTableFieldId="3" dataDxfId="9"/>
    <tableColumn id="4" xr3:uid="{59C8F4C1-5AEF-4A20-821B-7D868CE7E431}" uniqueName="4" name="Gemüse" queryTableFieldId="4" dataDxfId="8"/>
    <tableColumn id="5" xr3:uid="{81B7FFFB-3729-46EF-98D1-E263DA316DD3}" uniqueName="5" name="Obst" queryTableFieldId="5" dataDxfId="7"/>
    <tableColumn id="6" xr3:uid="{441253E8-6ED8-4D06-8BA8-206A3AA65E3D}" uniqueName="6" name="Harnst." queryTableFieldId="6"/>
    <tableColumn id="7" xr3:uid="{5AAD4CA3-7B6E-4145-AE24-4C921058F6A8}" uniqueName="7" name="Stickstoffgverteilung" queryTableFieldId="7"/>
    <tableColumn id="8" xr3:uid="{B24DDEB7-94D9-49FC-9BA4-1C71C69D5A7D}" uniqueName="8" name="Nitrat-N-Gewichtung" queryTableFieldId="8"/>
    <tableColumn id="9" xr3:uid="{EDA33FC2-08A6-4B01-9E9D-8C6958D48DDC}" uniqueName="9" name="Wasser" queryTableFieldId="9"/>
    <tableColumn id="10" xr3:uid="{E5833334-0428-4EE6-A6B9-909EA6C160DD}" uniqueName="10" name="NO3" queryTableFieldId="10"/>
    <tableColumn id="11" xr3:uid="{308436B8-28C3-4DE7-85FA-A110B2D731D8}" uniqueName="11" name="NH4" queryTableFieldId="11"/>
    <tableColumn id="12" xr3:uid="{A8B05D2F-4915-473E-8839-A184E9939090}" uniqueName="12" name="ges.N" queryTableFieldId="12"/>
    <tableColumn id="13" xr3:uid="{89AD5E60-DB09-437D-A1B4-F4B35EA7C7AA}" uniqueName="13" name="P2O5" queryTableFieldId="13"/>
    <tableColumn id="14" xr3:uid="{F4046BF1-E339-4CE9-89F9-B5E0C8222464}" uniqueName="14" name="K2O" queryTableFieldId="14"/>
    <tableColumn id="15" xr3:uid="{814A25C1-F868-48E7-964E-66BBC0FAA1A2}" uniqueName="15" name="MgO" queryTableFieldId="15"/>
    <tableColumn id="16" xr3:uid="{BC332224-370E-48AC-BFEE-BE7273AFFC6D}" uniqueName="16" name="CaO" queryTableFieldId="16"/>
    <tableColumn id="17" xr3:uid="{B2D004FA-57EC-4E6A-8398-FD493B0B7090}" uniqueName="17" name="SO4" queryTableFieldId="17"/>
    <tableColumn id="18" xr3:uid="{26B31D6D-87AD-4012-96D3-B1E653EADBD9}" uniqueName="18" name="Fe" queryTableFieldId="18"/>
    <tableColumn id="19" xr3:uid="{7AA3B154-21D1-4287-8763-3BDD45AB85DC}" uniqueName="19" name="Mn" queryTableFieldId="19"/>
    <tableColumn id="20" xr3:uid="{DE79CBF5-D37F-4638-8679-DF88A382586F}" uniqueName="20" name="Zn" queryTableFieldId="20"/>
    <tableColumn id="21" xr3:uid="{5E56F435-8DEB-4596-BEAC-ED505E910203}" uniqueName="21" name="B" queryTableFieldId="21"/>
    <tableColumn id="22" xr3:uid="{99D2D55E-9BE2-4901-847D-243FCB7C049C}" uniqueName="22" name="Cu" queryTableFieldId="22"/>
    <tableColumn id="23" xr3:uid="{DE492A7B-383B-4F71-865D-3BC106481CB5}" uniqueName="23" name="Mo" queryTableFieldId="23"/>
    <tableColumn id="24" xr3:uid="{D867AC22-2749-4B04-97A3-122A2E4B6074}" uniqueName="24" name="Al" queryTableFieldId="24"/>
    <tableColumn id="25" xr3:uid="{E5AA67E4-C02C-45E7-8D49-A21BAFB3ED67}" uniqueName="25" name="Spalte1" queryTableFieldId="25"/>
    <tableColumn id="26" xr3:uid="{4B062968-EC8A-4418-AFBB-E982BAAD682D}" uniqueName="26" name="g/L" queryTableFieldId="26"/>
    <tableColumn id="27" xr3:uid="{B475A8E9-B92A-42E7-9970-D7DF916E35DB}" uniqueName="27" name="0,5 ‰" queryTableFieldId="27"/>
    <tableColumn id="28" xr3:uid="{1501E4A2-1654-4F5C-A03D-E39902C67846}" uniqueName="28" name="1,0 ‰" queryTableFieldId="28"/>
    <tableColumn id="29" xr3:uid="{713E3435-4126-4BA7-AABC-88F39C4AF156}" uniqueName="29" name="1,5 ‰" queryTableFieldId="29"/>
    <tableColumn id="30" xr3:uid="{D24B4994-81F7-47E6-B721-EE0450901C40}" uniqueName="30" name="2,0 ‰" queryTableFieldId="30"/>
    <tableColumn id="31" xr3:uid="{D6A561F5-9949-42D6-AC1C-E1CBD302EA30}" uniqueName="31" name="1%" queryTableFieldId="31"/>
    <tableColumn id="32" xr3:uid="{445C0DB0-FFEA-4495-9A08-7C68609DBC94}" uniqueName="32" name="5%" queryTableFieldId="32"/>
    <tableColumn id="33" xr3:uid="{70E7FE07-7532-46C3-A62A-505AA3E494E5}" uniqueName="33" name="10%" queryTableFieldId="33"/>
    <tableColumn id="34" xr3:uid="{1348764A-60D4-4732-82F4-42CD8813F360}" uniqueName="34" name="20%" queryTableFieldId="34"/>
    <tableColumn id="35" xr3:uid="{92A6CA0C-2081-4527-8831-ED4C251D5690}" uniqueName="35" name="100%" queryTableFieldId="35"/>
    <tableColumn id="36" xr3:uid="{EDD298C8-87DE-4255-92A3-4C3CB293BAD4}" uniqueName="36" name="Trockenstoffe" queryTableFieldId="36"/>
    <tableColumn id="37" xr3:uid="{FC6F59B8-BB35-4727-A804-2EDCC739C14C}" uniqueName="37" name="Wasser2" queryTableFieldId="37"/>
    <tableColumn id="38" xr3:uid="{A2F6E04D-0229-4FB4-B33D-1A703AB4CF8A}" uniqueName="38" name="Datum" queryTableFieldId="3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NovaCondition">
      <a:majorFont>
        <a:latin typeface="Arial Nova"/>
        <a:ea typeface=""/>
        <a:cs typeface=""/>
      </a:majorFont>
      <a:minorFont>
        <a:latin typeface="Arial Nova Cond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D417-85F3-4819-8956-4AD960D43997}">
  <sheetPr>
    <tabColor rgb="FF92D050"/>
  </sheetPr>
  <dimension ref="A1:I96"/>
  <sheetViews>
    <sheetView tabSelected="1" topLeftCell="A40" workbookViewId="0">
      <selection activeCell="E22" sqref="E22"/>
    </sheetView>
  </sheetViews>
  <sheetFormatPr baseColWidth="10" defaultRowHeight="14.25" x14ac:dyDescent="0.2"/>
  <cols>
    <col min="1" max="1" width="25.140625" customWidth="1"/>
    <col min="2" max="2" width="37.85546875" customWidth="1"/>
    <col min="3" max="6" width="22.7109375" customWidth="1"/>
  </cols>
  <sheetData>
    <row r="1" spans="1:9" x14ac:dyDescent="0.2">
      <c r="A1" s="4" t="s">
        <v>274</v>
      </c>
    </row>
    <row r="2" spans="1:9" ht="30.75" x14ac:dyDescent="0.45">
      <c r="A2" s="26" t="s">
        <v>770</v>
      </c>
    </row>
    <row r="3" spans="1:9" x14ac:dyDescent="0.2">
      <c r="A3" s="4"/>
    </row>
    <row r="4" spans="1:9" ht="18.75" thickBot="1" x14ac:dyDescent="0.3">
      <c r="A4" s="2" t="s">
        <v>767</v>
      </c>
      <c r="B4" s="3"/>
      <c r="C4" s="3"/>
      <c r="D4" s="3"/>
      <c r="E4" s="3"/>
      <c r="F4" s="3"/>
      <c r="G4" s="3"/>
      <c r="H4" s="3"/>
      <c r="I4" s="3"/>
    </row>
    <row r="5" spans="1:9" ht="15" thickTop="1" x14ac:dyDescent="0.2">
      <c r="A5" t="s">
        <v>30</v>
      </c>
      <c r="B5" s="23" t="s">
        <v>269</v>
      </c>
    </row>
    <row r="6" spans="1:9" s="21" customFormat="1" x14ac:dyDescent="0.2">
      <c r="A6" s="21" t="s">
        <v>32</v>
      </c>
      <c r="B6" s="22" t="str">
        <f>_xlfn.XLOOKUP(B5,SortenTabelle[Name],SortenTabelle[Hersteller],0)</f>
        <v>Sweet Seeds</v>
      </c>
    </row>
    <row r="7" spans="1:9" x14ac:dyDescent="0.2">
      <c r="A7" s="21" t="s">
        <v>0</v>
      </c>
      <c r="B7" s="22" t="str">
        <f>_xlfn.XLOOKUP(B5,SortenTabelle[Name],SortenTabelle[Feminisiert],0)</f>
        <v>Ja</v>
      </c>
      <c r="C7" s="21" t="s">
        <v>27</v>
      </c>
    </row>
    <row r="8" spans="1:9" x14ac:dyDescent="0.2">
      <c r="A8" s="21" t="s">
        <v>276</v>
      </c>
      <c r="B8" s="22">
        <f>_xlfn.XLOOKUP(B5,SortenTabelle[Name],SortenTabelle[Blütezeit / Tage],0)</f>
        <v>49</v>
      </c>
      <c r="C8" s="21" t="s">
        <v>1</v>
      </c>
    </row>
    <row r="9" spans="1:9" x14ac:dyDescent="0.2">
      <c r="A9" s="21" t="s">
        <v>275</v>
      </c>
      <c r="B9" s="22">
        <f>_xlfn.XLOOKUP(B5,SortenTabelle[Name],SortenTabelle[Ertrag / m²],0) / 4</f>
        <v>150</v>
      </c>
      <c r="C9" s="21" t="s">
        <v>26</v>
      </c>
    </row>
    <row r="10" spans="1:9" x14ac:dyDescent="0.2">
      <c r="A10" s="21" t="s">
        <v>277</v>
      </c>
      <c r="B10" s="25">
        <f>_xlfn.XLOOKUP(B5,SortenTabelle[Name],SortenTabelle[Ertrag zu Blütetag],0) /4</f>
        <v>3.0612244897959182</v>
      </c>
      <c r="C10" s="21" t="s">
        <v>26</v>
      </c>
    </row>
    <row r="11" spans="1:9" x14ac:dyDescent="0.2">
      <c r="A11" s="21" t="s">
        <v>283</v>
      </c>
      <c r="B11" s="22">
        <v>20</v>
      </c>
      <c r="C11" s="21" t="s">
        <v>1</v>
      </c>
    </row>
    <row r="12" spans="1:9" x14ac:dyDescent="0.2">
      <c r="A12" s="21" t="s">
        <v>285</v>
      </c>
      <c r="B12" s="22">
        <f>_xlfn.XLOOKUP(B5,SortenTabelle[Name],SortenTabelle[Stretch Faktor],0)</f>
        <v>2.2000000000000002</v>
      </c>
      <c r="C12" s="21" t="s">
        <v>286</v>
      </c>
    </row>
    <row r="13" spans="1:9" x14ac:dyDescent="0.2">
      <c r="A13" s="21" t="s">
        <v>287</v>
      </c>
      <c r="B13" s="22">
        <f>_xlfn.XLOOKUP(B5,SortenTabelle[Name],SortenTabelle[SizeToBloom],0)</f>
        <v>0</v>
      </c>
      <c r="C13" s="21" t="s">
        <v>288</v>
      </c>
    </row>
    <row r="15" spans="1:9" ht="18.75" thickBot="1" x14ac:dyDescent="0.3">
      <c r="A15" s="2" t="s">
        <v>281</v>
      </c>
      <c r="B15" s="3"/>
      <c r="C15" s="3"/>
      <c r="D15" s="3"/>
      <c r="E15" s="3"/>
      <c r="F15" s="3"/>
      <c r="G15" s="3"/>
      <c r="H15" s="3"/>
      <c r="I15" s="3"/>
    </row>
    <row r="16" spans="1:9" ht="15" thickTop="1" x14ac:dyDescent="0.2">
      <c r="A16" t="s">
        <v>282</v>
      </c>
      <c r="B16" s="24">
        <v>45896</v>
      </c>
      <c r="C16" t="s">
        <v>779</v>
      </c>
    </row>
    <row r="20" spans="1:9" ht="18.75" thickBot="1" x14ac:dyDescent="0.3">
      <c r="A20" s="2" t="s">
        <v>769</v>
      </c>
      <c r="B20" s="3"/>
      <c r="C20" s="3"/>
      <c r="D20" s="3"/>
      <c r="E20" s="3"/>
      <c r="F20" s="3"/>
      <c r="G20" s="3"/>
      <c r="H20" s="3"/>
      <c r="I20" s="3"/>
    </row>
    <row r="21" spans="1:9" ht="18" thickTop="1" x14ac:dyDescent="0.3">
      <c r="A21" t="s">
        <v>278</v>
      </c>
      <c r="B21" s="5" t="s">
        <v>279</v>
      </c>
    </row>
    <row r="22" spans="1:9" x14ac:dyDescent="0.2">
      <c r="A22" t="s">
        <v>768</v>
      </c>
      <c r="B22" s="19">
        <v>0</v>
      </c>
      <c r="C22" t="s">
        <v>1</v>
      </c>
    </row>
    <row r="23" spans="1:9" x14ac:dyDescent="0.2">
      <c r="A23" t="s">
        <v>738</v>
      </c>
      <c r="B23" s="8" t="s">
        <v>707</v>
      </c>
    </row>
    <row r="24" spans="1:9" x14ac:dyDescent="0.2">
      <c r="A24" t="s">
        <v>788</v>
      </c>
      <c r="B24" s="54">
        <v>8</v>
      </c>
      <c r="C24" s="55" t="s">
        <v>789</v>
      </c>
    </row>
    <row r="27" spans="1:9" ht="84" customHeight="1" x14ac:dyDescent="0.2"/>
    <row r="28" spans="1:9" ht="26.25" thickBot="1" x14ac:dyDescent="0.4">
      <c r="A28" s="20" t="s">
        <v>766</v>
      </c>
      <c r="B28" s="3"/>
      <c r="C28" s="3"/>
      <c r="D28" s="3"/>
      <c r="E28" s="3"/>
      <c r="F28" s="3"/>
      <c r="G28" s="3"/>
      <c r="H28" s="3"/>
      <c r="I28" s="3"/>
    </row>
    <row r="29" spans="1:9" ht="15" thickTop="1" x14ac:dyDescent="0.2">
      <c r="B29" s="6"/>
    </row>
    <row r="30" spans="1:9" x14ac:dyDescent="0.2">
      <c r="B30" s="6"/>
    </row>
    <row r="31" spans="1:9" x14ac:dyDescent="0.2">
      <c r="B31" s="6"/>
    </row>
    <row r="32" spans="1:9" x14ac:dyDescent="0.2">
      <c r="A32" t="s">
        <v>280</v>
      </c>
      <c r="B32" s="5">
        <v>900</v>
      </c>
      <c r="C32" t="s">
        <v>11</v>
      </c>
    </row>
    <row r="33" spans="1:9" x14ac:dyDescent="0.2">
      <c r="A33" t="s">
        <v>282</v>
      </c>
      <c r="B33" s="6">
        <f>B16</f>
        <v>45896</v>
      </c>
      <c r="C33">
        <v>1</v>
      </c>
    </row>
    <row r="34" spans="1:9" x14ac:dyDescent="0.2">
      <c r="A34" t="s">
        <v>776</v>
      </c>
      <c r="B34" s="6">
        <f>$B$33+C34</f>
        <v>45917</v>
      </c>
      <c r="C34" s="7">
        <f>C33+B11</f>
        <v>21</v>
      </c>
    </row>
    <row r="35" spans="1:9" x14ac:dyDescent="0.2">
      <c r="A35" t="s">
        <v>774</v>
      </c>
      <c r="B35" s="6">
        <f>$B$33+C35</f>
        <v>45966</v>
      </c>
      <c r="C35" s="7">
        <f>C34+B8</f>
        <v>70</v>
      </c>
    </row>
    <row r="36" spans="1:9" x14ac:dyDescent="0.2">
      <c r="A36" t="s">
        <v>778</v>
      </c>
      <c r="B36" s="6">
        <f t="shared" ref="B36:B38" si="0">$B$33+C36</f>
        <v>45959</v>
      </c>
      <c r="C36" s="7">
        <f>C35-7</f>
        <v>63</v>
      </c>
    </row>
    <row r="37" spans="1:9" x14ac:dyDescent="0.2">
      <c r="A37" t="s">
        <v>775</v>
      </c>
      <c r="B37" s="6">
        <f t="shared" si="0"/>
        <v>45980</v>
      </c>
      <c r="C37" s="7">
        <f>C35+14</f>
        <v>84</v>
      </c>
    </row>
    <row r="38" spans="1:9" x14ac:dyDescent="0.2">
      <c r="A38" t="s">
        <v>777</v>
      </c>
      <c r="B38" s="6">
        <f t="shared" si="0"/>
        <v>46001</v>
      </c>
      <c r="C38" s="7">
        <f>C37+C34</f>
        <v>105</v>
      </c>
    </row>
    <row r="41" spans="1:9" x14ac:dyDescent="0.2">
      <c r="A41" t="s">
        <v>284</v>
      </c>
      <c r="B41" s="6">
        <f>B35+15</f>
        <v>45981</v>
      </c>
    </row>
    <row r="45" spans="1:9" x14ac:dyDescent="0.2">
      <c r="A45" s="12" t="s">
        <v>739</v>
      </c>
      <c r="B45" s="13"/>
      <c r="C45" s="13"/>
      <c r="D45" s="13"/>
      <c r="E45" s="13"/>
      <c r="F45" s="13"/>
      <c r="G45" s="13"/>
      <c r="H45" s="13"/>
      <c r="I45" s="13"/>
    </row>
    <row r="46" spans="1:9" x14ac:dyDescent="0.2">
      <c r="A46" t="s">
        <v>740</v>
      </c>
      <c r="B46" s="5">
        <f>_xlfn.XLOOKUP(substrat,Substrate_tabelle[Name],Substrate_tabelle['[CaCl2']])</f>
        <v>140</v>
      </c>
      <c r="C46" t="s">
        <v>741</v>
      </c>
    </row>
    <row r="47" spans="1:9" x14ac:dyDescent="0.2">
      <c r="A47" t="s">
        <v>667</v>
      </c>
      <c r="B47" s="5">
        <f>_xlfn.XLOOKUP(substrat,Substrate_tabelle[Name],Substrate_tabelle['[P2O2']])</f>
        <v>80</v>
      </c>
      <c r="C47" t="s">
        <v>741</v>
      </c>
    </row>
    <row r="48" spans="1:9" x14ac:dyDescent="0.2">
      <c r="A48" t="s">
        <v>662</v>
      </c>
      <c r="B48" s="5">
        <f>_xlfn.XLOOKUP(substrat,Substrate_tabelle[Name],Substrate_tabelle['[K2O']])</f>
        <v>190</v>
      </c>
      <c r="C48" t="s">
        <v>741</v>
      </c>
    </row>
    <row r="49" spans="1:9" x14ac:dyDescent="0.2">
      <c r="A49" t="s">
        <v>29</v>
      </c>
      <c r="B49" s="5">
        <f>_xlfn.XLOOKUP(substrat,Substrate_tabelle[Name],Substrate_tabelle['[Mg']])</f>
        <v>70</v>
      </c>
      <c r="C49" t="s">
        <v>741</v>
      </c>
    </row>
    <row r="50" spans="1:9" x14ac:dyDescent="0.2">
      <c r="A50" s="12" t="s">
        <v>742</v>
      </c>
      <c r="B50" s="13"/>
      <c r="C50" s="13"/>
      <c r="D50" s="13"/>
      <c r="E50" s="13"/>
      <c r="F50" s="13"/>
      <c r="G50" s="13"/>
      <c r="H50" s="13"/>
      <c r="I50" s="13"/>
    </row>
    <row r="51" spans="1:9" x14ac:dyDescent="0.2">
      <c r="A51" t="s">
        <v>740</v>
      </c>
      <c r="B51" s="5">
        <f>B46*11</f>
        <v>1540</v>
      </c>
      <c r="C51" t="s">
        <v>743</v>
      </c>
    </row>
    <row r="52" spans="1:9" x14ac:dyDescent="0.2">
      <c r="A52" t="s">
        <v>667</v>
      </c>
      <c r="B52" s="5">
        <f>B47*11</f>
        <v>880</v>
      </c>
      <c r="C52" t="s">
        <v>743</v>
      </c>
    </row>
    <row r="53" spans="1:9" x14ac:dyDescent="0.2">
      <c r="A53" t="s">
        <v>662</v>
      </c>
      <c r="B53" s="5">
        <f>B48*11</f>
        <v>2090</v>
      </c>
      <c r="C53" t="s">
        <v>743</v>
      </c>
    </row>
    <row r="54" spans="1:9" x14ac:dyDescent="0.2">
      <c r="A54" t="s">
        <v>29</v>
      </c>
      <c r="B54" s="5">
        <f>B49*11</f>
        <v>770</v>
      </c>
      <c r="C54" t="s">
        <v>743</v>
      </c>
    </row>
    <row r="56" spans="1:9" ht="18.75" thickBot="1" x14ac:dyDescent="0.3">
      <c r="A56" s="2" t="s">
        <v>289</v>
      </c>
      <c r="B56" s="3"/>
      <c r="C56" s="3"/>
      <c r="D56" s="3"/>
      <c r="E56" s="3"/>
      <c r="F56" s="3"/>
      <c r="G56" s="3"/>
      <c r="H56" s="3"/>
      <c r="I56" s="3"/>
    </row>
    <row r="57" spans="1:9" ht="15" thickTop="1" x14ac:dyDescent="0.2">
      <c r="A57" t="s">
        <v>290</v>
      </c>
      <c r="B57">
        <f>B9</f>
        <v>150</v>
      </c>
      <c r="C57" t="s">
        <v>26</v>
      </c>
    </row>
    <row r="58" spans="1:9" x14ac:dyDescent="0.2">
      <c r="A58" t="s">
        <v>291</v>
      </c>
      <c r="B58">
        <f>IF(B21="JA",1,0.66)</f>
        <v>0.66</v>
      </c>
      <c r="C58" t="s">
        <v>292</v>
      </c>
    </row>
    <row r="59" spans="1:9" x14ac:dyDescent="0.2">
      <c r="A59" s="1" t="s">
        <v>293</v>
      </c>
      <c r="B59" s="1">
        <f>B57*B58</f>
        <v>99</v>
      </c>
      <c r="C59" s="1" t="s">
        <v>26</v>
      </c>
      <c r="D59" s="1"/>
      <c r="E59" s="1"/>
      <c r="F59" s="1"/>
      <c r="G59" s="1"/>
      <c r="H59" s="1"/>
      <c r="I59" s="1"/>
    </row>
    <row r="60" spans="1:9" x14ac:dyDescent="0.2">
      <c r="A60" t="s">
        <v>294</v>
      </c>
      <c r="B60">
        <f>B59</f>
        <v>99</v>
      </c>
      <c r="C60" t="s">
        <v>26</v>
      </c>
    </row>
    <row r="61" spans="1:9" x14ac:dyDescent="0.2">
      <c r="A61" t="s">
        <v>295</v>
      </c>
      <c r="B61">
        <f>B60*0.8</f>
        <v>79.2</v>
      </c>
      <c r="C61" t="s">
        <v>26</v>
      </c>
    </row>
    <row r="62" spans="1:9" x14ac:dyDescent="0.2">
      <c r="A62" t="s">
        <v>296</v>
      </c>
      <c r="B62">
        <v>99</v>
      </c>
      <c r="C62" t="s">
        <v>26</v>
      </c>
    </row>
    <row r="63" spans="1:9" x14ac:dyDescent="0.2">
      <c r="A63" s="1" t="s">
        <v>300</v>
      </c>
      <c r="B63" s="9">
        <f>B61/B8</f>
        <v>1.616326530612245</v>
      </c>
      <c r="C63" s="1" t="s">
        <v>26</v>
      </c>
      <c r="D63" s="1"/>
      <c r="E63" s="1"/>
      <c r="F63" s="1"/>
      <c r="G63" s="1"/>
      <c r="H63" s="1"/>
      <c r="I63" s="1"/>
    </row>
    <row r="64" spans="1:9" x14ac:dyDescent="0.2">
      <c r="A64" t="s">
        <v>297</v>
      </c>
      <c r="B64">
        <f>_xlfn.XLOOKUP(B5,SortenTabelle[Name],SortenTabelle[Größe],0)</f>
        <v>0</v>
      </c>
      <c r="C64" t="s">
        <v>288</v>
      </c>
    </row>
    <row r="65" spans="1:9" x14ac:dyDescent="0.2">
      <c r="A65" t="s">
        <v>298</v>
      </c>
      <c r="B65" s="7">
        <f>(B64-B13)/B12</f>
        <v>0</v>
      </c>
      <c r="C65" t="s">
        <v>299</v>
      </c>
    </row>
    <row r="68" spans="1:9" ht="18.75" thickBot="1" x14ac:dyDescent="0.3">
      <c r="A68" s="2" t="s">
        <v>751</v>
      </c>
      <c r="B68" s="3"/>
      <c r="C68" s="3"/>
      <c r="D68" s="3"/>
      <c r="E68" s="3"/>
      <c r="F68" s="3"/>
      <c r="G68" s="3"/>
      <c r="H68" s="3"/>
      <c r="I68" s="3"/>
    </row>
    <row r="69" spans="1:9" ht="15" thickTop="1" x14ac:dyDescent="0.2">
      <c r="A69" t="s">
        <v>752</v>
      </c>
      <c r="B69">
        <v>4</v>
      </c>
      <c r="C69" t="s">
        <v>288</v>
      </c>
    </row>
    <row r="70" spans="1:9" x14ac:dyDescent="0.2">
      <c r="A70" t="s">
        <v>754</v>
      </c>
      <c r="B70">
        <f>B12</f>
        <v>2.2000000000000002</v>
      </c>
    </row>
    <row r="71" spans="1:9" x14ac:dyDescent="0.2">
      <c r="A71" t="s">
        <v>753</v>
      </c>
      <c r="B71">
        <v>80</v>
      </c>
      <c r="C71" t="s">
        <v>288</v>
      </c>
    </row>
    <row r="82" spans="1:9" x14ac:dyDescent="0.2">
      <c r="B82" t="s">
        <v>771</v>
      </c>
    </row>
    <row r="83" spans="1:9" ht="14.25" customHeight="1" x14ac:dyDescent="0.3">
      <c r="A83" s="16"/>
      <c r="B83" s="16"/>
      <c r="C83" s="16"/>
      <c r="D83" s="16"/>
      <c r="E83" s="16"/>
      <c r="F83" s="16"/>
    </row>
    <row r="84" spans="1:9" ht="14.25" customHeight="1" x14ac:dyDescent="0.2">
      <c r="A84" s="17"/>
      <c r="B84" s="18"/>
      <c r="C84" s="18"/>
      <c r="D84" s="18"/>
      <c r="E84" s="18"/>
      <c r="F84" s="18"/>
    </row>
    <row r="85" spans="1:9" ht="14.25" customHeight="1" x14ac:dyDescent="0.2">
      <c r="C85" s="14" t="s">
        <v>740</v>
      </c>
      <c r="D85" s="14" t="s">
        <v>667</v>
      </c>
      <c r="E85" s="14" t="s">
        <v>662</v>
      </c>
      <c r="F85" s="14" t="s">
        <v>29</v>
      </c>
    </row>
    <row r="86" spans="1:9" ht="14.25" customHeight="1" thickBot="1" x14ac:dyDescent="0.3">
      <c r="A86" s="2" t="s">
        <v>744</v>
      </c>
      <c r="B86" s="3"/>
      <c r="C86" s="15" t="s">
        <v>745</v>
      </c>
      <c r="D86" s="15" t="s">
        <v>746</v>
      </c>
      <c r="E86" s="15" t="s">
        <v>747</v>
      </c>
      <c r="F86" s="15" t="s">
        <v>748</v>
      </c>
      <c r="G86" s="3"/>
      <c r="H86" s="3"/>
      <c r="I86" s="3"/>
    </row>
    <row r="87" spans="1:9" ht="14.25" customHeight="1" thickTop="1" x14ac:dyDescent="0.2"/>
    <row r="88" spans="1:9" ht="14.25" customHeight="1" x14ac:dyDescent="0.2">
      <c r="B88" t="s">
        <v>749</v>
      </c>
      <c r="C88">
        <v>160</v>
      </c>
      <c r="D88">
        <v>30</v>
      </c>
      <c r="E88">
        <v>175</v>
      </c>
      <c r="F88">
        <v>50</v>
      </c>
    </row>
    <row r="89" spans="1:9" ht="14.25" customHeight="1" x14ac:dyDescent="0.2">
      <c r="B89" t="s">
        <v>750</v>
      </c>
    </row>
    <row r="90" spans="1:9" ht="14.25" customHeight="1" x14ac:dyDescent="0.2">
      <c r="B90" t="s">
        <v>755</v>
      </c>
    </row>
    <row r="91" spans="1:9" ht="14.25" customHeight="1" x14ac:dyDescent="0.2"/>
    <row r="92" spans="1:9" ht="14.25" customHeight="1" x14ac:dyDescent="0.2"/>
    <row r="93" spans="1:9" ht="14.25" customHeight="1" x14ac:dyDescent="0.2"/>
    <row r="94" spans="1:9" ht="14.25" customHeight="1" x14ac:dyDescent="0.2"/>
    <row r="95" spans="1:9" ht="14.25" customHeight="1" x14ac:dyDescent="0.2"/>
    <row r="96" spans="1:9" ht="14.25" customHeight="1" x14ac:dyDescent="0.2"/>
  </sheetData>
  <dataValidations count="4">
    <dataValidation type="list" allowBlank="1" showInputMessage="1" showErrorMessage="1" sqref="B21" xr:uid="{79C38CD3-52D2-40CA-937D-871CB84FA13F}">
      <formula1>"JA,NEIN"</formula1>
    </dataValidation>
    <dataValidation type="list" allowBlank="1" showInputMessage="1" showErrorMessage="1" sqref="B32" xr:uid="{3E1F3B6E-5457-4FF8-8B8D-BA94FDD4F500}">
      <formula1>"750,900,1100"</formula1>
    </dataValidation>
    <dataValidation type="list" allowBlank="1" showInputMessage="1" showErrorMessage="1" sqref="B22" xr:uid="{B435DED3-FA19-4B30-9CF2-A9552A8707C8}">
      <formula1>"0,1,2,3,4,5,6,7,8,9,10,11,12,13,14,15,16,17,18,19,20"</formula1>
    </dataValidation>
    <dataValidation type="list" allowBlank="1" showInputMessage="1" showErrorMessage="1" sqref="B24" xr:uid="{26565D7A-3DA4-4015-80B3-6C33CC533186}">
      <formula1>INDIRECT("carbonathaerte_options")</formula1>
    </dataValidation>
  </dataValidations>
  <pageMargins left="0.7" right="0.7" top="0.78740157499999996" bottom="0.78740157499999996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BB3DF0-AFAF-491E-A292-7499B1C22D33}">
          <x14:formula1>
            <xm:f>Substrate_tabelle!$A$2:$A$340</xm:f>
          </x14:formula1>
          <xm:sqref>B23</xm:sqref>
        </x14:dataValidation>
        <x14:dataValidation type="list" allowBlank="1" showInputMessage="1" showErrorMessage="1" xr:uid="{31CBEAD3-467D-40DF-9231-43BB325F6655}">
          <x14:formula1>
            <xm:f>SortenTabelle!$A$2:$A$242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68AE-A327-461D-90D2-4BB8DAAF8131}">
  <sheetPr>
    <tabColor theme="0" tint="-0.499984740745262"/>
  </sheetPr>
  <dimension ref="A1:A146"/>
  <sheetViews>
    <sheetView topLeftCell="A7" workbookViewId="0">
      <selection activeCell="A7" sqref="A7:A146"/>
    </sheetView>
  </sheetViews>
  <sheetFormatPr baseColWidth="10" defaultRowHeight="14.25" x14ac:dyDescent="0.2"/>
  <cols>
    <col min="1" max="1" width="21.85546875" customWidth="1"/>
  </cols>
  <sheetData>
    <row r="1" spans="1:1" x14ac:dyDescent="0.2">
      <c r="A1" t="s">
        <v>791</v>
      </c>
    </row>
    <row r="6" spans="1:1" x14ac:dyDescent="0.2">
      <c r="A6" t="s">
        <v>790</v>
      </c>
    </row>
    <row r="7" spans="1:1" x14ac:dyDescent="0.2">
      <c r="A7" s="54">
        <v>0.1</v>
      </c>
    </row>
    <row r="8" spans="1:1" x14ac:dyDescent="0.2">
      <c r="A8" s="54">
        <v>0.2</v>
      </c>
    </row>
    <row r="9" spans="1:1" x14ac:dyDescent="0.2">
      <c r="A9" s="54">
        <v>0.3</v>
      </c>
    </row>
    <row r="10" spans="1:1" x14ac:dyDescent="0.2">
      <c r="A10" s="54">
        <v>0.4</v>
      </c>
    </row>
    <row r="11" spans="1:1" x14ac:dyDescent="0.2">
      <c r="A11" s="54">
        <v>0.5</v>
      </c>
    </row>
    <row r="12" spans="1:1" x14ac:dyDescent="0.2">
      <c r="A12" s="54">
        <v>0.6</v>
      </c>
    </row>
    <row r="13" spans="1:1" x14ac:dyDescent="0.2">
      <c r="A13" s="54">
        <v>0.7</v>
      </c>
    </row>
    <row r="14" spans="1:1" x14ac:dyDescent="0.2">
      <c r="A14" s="54">
        <v>0.8</v>
      </c>
    </row>
    <row r="15" spans="1:1" x14ac:dyDescent="0.2">
      <c r="A15" s="54">
        <v>0.9</v>
      </c>
    </row>
    <row r="16" spans="1:1" x14ac:dyDescent="0.2">
      <c r="A16" s="54">
        <v>1</v>
      </c>
    </row>
    <row r="17" spans="1:1" x14ac:dyDescent="0.2">
      <c r="A17" s="54">
        <v>1.1000000000000001</v>
      </c>
    </row>
    <row r="18" spans="1:1" x14ac:dyDescent="0.2">
      <c r="A18" s="54">
        <v>1.2</v>
      </c>
    </row>
    <row r="19" spans="1:1" x14ac:dyDescent="0.2">
      <c r="A19" s="54">
        <v>1.3</v>
      </c>
    </row>
    <row r="20" spans="1:1" x14ac:dyDescent="0.2">
      <c r="A20" s="54">
        <v>1.4</v>
      </c>
    </row>
    <row r="21" spans="1:1" x14ac:dyDescent="0.2">
      <c r="A21" s="54">
        <v>1.5</v>
      </c>
    </row>
    <row r="22" spans="1:1" x14ac:dyDescent="0.2">
      <c r="A22" s="54">
        <v>1.6</v>
      </c>
    </row>
    <row r="23" spans="1:1" x14ac:dyDescent="0.2">
      <c r="A23" s="54">
        <v>1.7</v>
      </c>
    </row>
    <row r="24" spans="1:1" x14ac:dyDescent="0.2">
      <c r="A24" s="54">
        <v>1.8</v>
      </c>
    </row>
    <row r="25" spans="1:1" x14ac:dyDescent="0.2">
      <c r="A25" s="54">
        <v>1.9</v>
      </c>
    </row>
    <row r="26" spans="1:1" x14ac:dyDescent="0.2">
      <c r="A26" s="54">
        <v>2</v>
      </c>
    </row>
    <row r="27" spans="1:1" x14ac:dyDescent="0.2">
      <c r="A27" s="54">
        <v>2.1</v>
      </c>
    </row>
    <row r="28" spans="1:1" x14ac:dyDescent="0.2">
      <c r="A28" s="54">
        <v>2.2000000000000002</v>
      </c>
    </row>
    <row r="29" spans="1:1" x14ac:dyDescent="0.2">
      <c r="A29" s="54">
        <v>2.2999999999999998</v>
      </c>
    </row>
    <row r="30" spans="1:1" x14ac:dyDescent="0.2">
      <c r="A30" s="54">
        <v>2.4</v>
      </c>
    </row>
    <row r="31" spans="1:1" x14ac:dyDescent="0.2">
      <c r="A31" s="54">
        <v>2.5</v>
      </c>
    </row>
    <row r="32" spans="1:1" x14ac:dyDescent="0.2">
      <c r="A32" s="54">
        <v>2.6</v>
      </c>
    </row>
    <row r="33" spans="1:1" x14ac:dyDescent="0.2">
      <c r="A33" s="54">
        <v>2.7</v>
      </c>
    </row>
    <row r="34" spans="1:1" x14ac:dyDescent="0.2">
      <c r="A34" s="54">
        <v>2.8</v>
      </c>
    </row>
    <row r="35" spans="1:1" x14ac:dyDescent="0.2">
      <c r="A35" s="54">
        <v>2.9</v>
      </c>
    </row>
    <row r="36" spans="1:1" x14ac:dyDescent="0.2">
      <c r="A36" s="54">
        <v>3</v>
      </c>
    </row>
    <row r="37" spans="1:1" x14ac:dyDescent="0.2">
      <c r="A37" s="54">
        <v>3.1</v>
      </c>
    </row>
    <row r="38" spans="1:1" x14ac:dyDescent="0.2">
      <c r="A38" s="54">
        <v>3.2</v>
      </c>
    </row>
    <row r="39" spans="1:1" x14ac:dyDescent="0.2">
      <c r="A39" s="54">
        <v>3.3</v>
      </c>
    </row>
    <row r="40" spans="1:1" x14ac:dyDescent="0.2">
      <c r="A40" s="54">
        <v>3.4</v>
      </c>
    </row>
    <row r="41" spans="1:1" x14ac:dyDescent="0.2">
      <c r="A41" s="54">
        <v>3.5</v>
      </c>
    </row>
    <row r="42" spans="1:1" x14ac:dyDescent="0.2">
      <c r="A42" s="54">
        <v>3.6</v>
      </c>
    </row>
    <row r="43" spans="1:1" x14ac:dyDescent="0.2">
      <c r="A43" s="54">
        <v>3.7</v>
      </c>
    </row>
    <row r="44" spans="1:1" x14ac:dyDescent="0.2">
      <c r="A44" s="54">
        <v>3.8</v>
      </c>
    </row>
    <row r="45" spans="1:1" x14ac:dyDescent="0.2">
      <c r="A45" s="54">
        <v>3.9</v>
      </c>
    </row>
    <row r="46" spans="1:1" x14ac:dyDescent="0.2">
      <c r="A46" s="54">
        <v>4</v>
      </c>
    </row>
    <row r="47" spans="1:1" x14ac:dyDescent="0.2">
      <c r="A47" s="54">
        <v>4.0999999999999996</v>
      </c>
    </row>
    <row r="48" spans="1:1" x14ac:dyDescent="0.2">
      <c r="A48" s="54">
        <v>4.2</v>
      </c>
    </row>
    <row r="49" spans="1:1" x14ac:dyDescent="0.2">
      <c r="A49" s="54">
        <v>4.3</v>
      </c>
    </row>
    <row r="50" spans="1:1" x14ac:dyDescent="0.2">
      <c r="A50" s="54">
        <v>4.4000000000000004</v>
      </c>
    </row>
    <row r="51" spans="1:1" x14ac:dyDescent="0.2">
      <c r="A51" s="54">
        <v>4.5</v>
      </c>
    </row>
    <row r="52" spans="1:1" x14ac:dyDescent="0.2">
      <c r="A52" s="54">
        <v>4.5999999999999996</v>
      </c>
    </row>
    <row r="53" spans="1:1" x14ac:dyDescent="0.2">
      <c r="A53" s="54">
        <v>4.7</v>
      </c>
    </row>
    <row r="54" spans="1:1" x14ac:dyDescent="0.2">
      <c r="A54" s="54">
        <v>4.8</v>
      </c>
    </row>
    <row r="55" spans="1:1" x14ac:dyDescent="0.2">
      <c r="A55" s="54">
        <v>4.9000000000000004</v>
      </c>
    </row>
    <row r="56" spans="1:1" x14ac:dyDescent="0.2">
      <c r="A56" s="54">
        <v>5</v>
      </c>
    </row>
    <row r="57" spans="1:1" x14ac:dyDescent="0.2">
      <c r="A57" s="54">
        <v>5.0999999999999996</v>
      </c>
    </row>
    <row r="58" spans="1:1" x14ac:dyDescent="0.2">
      <c r="A58" s="54">
        <v>5.2</v>
      </c>
    </row>
    <row r="59" spans="1:1" x14ac:dyDescent="0.2">
      <c r="A59" s="54">
        <v>5.3</v>
      </c>
    </row>
    <row r="60" spans="1:1" x14ac:dyDescent="0.2">
      <c r="A60" s="54">
        <v>5.4</v>
      </c>
    </row>
    <row r="61" spans="1:1" x14ac:dyDescent="0.2">
      <c r="A61" s="54">
        <v>5.5</v>
      </c>
    </row>
    <row r="62" spans="1:1" x14ac:dyDescent="0.2">
      <c r="A62" s="54">
        <v>5.6</v>
      </c>
    </row>
    <row r="63" spans="1:1" x14ac:dyDescent="0.2">
      <c r="A63" s="54">
        <v>5.7</v>
      </c>
    </row>
    <row r="64" spans="1:1" x14ac:dyDescent="0.2">
      <c r="A64" s="54">
        <v>5.8</v>
      </c>
    </row>
    <row r="65" spans="1:1" x14ac:dyDescent="0.2">
      <c r="A65" s="54">
        <v>5.9</v>
      </c>
    </row>
    <row r="66" spans="1:1" x14ac:dyDescent="0.2">
      <c r="A66" s="54">
        <v>6</v>
      </c>
    </row>
    <row r="67" spans="1:1" x14ac:dyDescent="0.2">
      <c r="A67" s="54">
        <v>6.1</v>
      </c>
    </row>
    <row r="68" spans="1:1" x14ac:dyDescent="0.2">
      <c r="A68" s="54">
        <v>6.2</v>
      </c>
    </row>
    <row r="69" spans="1:1" x14ac:dyDescent="0.2">
      <c r="A69" s="54">
        <v>6.3</v>
      </c>
    </row>
    <row r="70" spans="1:1" x14ac:dyDescent="0.2">
      <c r="A70" s="54">
        <v>6.4</v>
      </c>
    </row>
    <row r="71" spans="1:1" x14ac:dyDescent="0.2">
      <c r="A71" s="54">
        <v>6.5</v>
      </c>
    </row>
    <row r="72" spans="1:1" x14ac:dyDescent="0.2">
      <c r="A72" s="54">
        <v>6.6</v>
      </c>
    </row>
    <row r="73" spans="1:1" x14ac:dyDescent="0.2">
      <c r="A73" s="54">
        <v>6.7</v>
      </c>
    </row>
    <row r="74" spans="1:1" x14ac:dyDescent="0.2">
      <c r="A74" s="54">
        <v>6.8</v>
      </c>
    </row>
    <row r="75" spans="1:1" x14ac:dyDescent="0.2">
      <c r="A75" s="54">
        <v>6.9</v>
      </c>
    </row>
    <row r="76" spans="1:1" x14ac:dyDescent="0.2">
      <c r="A76" s="54">
        <v>7</v>
      </c>
    </row>
    <row r="77" spans="1:1" x14ac:dyDescent="0.2">
      <c r="A77" s="54">
        <v>7.1</v>
      </c>
    </row>
    <row r="78" spans="1:1" x14ac:dyDescent="0.2">
      <c r="A78" s="54">
        <v>7.2</v>
      </c>
    </row>
    <row r="79" spans="1:1" x14ac:dyDescent="0.2">
      <c r="A79" s="54">
        <v>7.3</v>
      </c>
    </row>
    <row r="80" spans="1:1" x14ac:dyDescent="0.2">
      <c r="A80" s="54">
        <v>7.4</v>
      </c>
    </row>
    <row r="81" spans="1:1" x14ac:dyDescent="0.2">
      <c r="A81" s="54">
        <v>7.5</v>
      </c>
    </row>
    <row r="82" spans="1:1" x14ac:dyDescent="0.2">
      <c r="A82" s="54">
        <v>7.6</v>
      </c>
    </row>
    <row r="83" spans="1:1" x14ac:dyDescent="0.2">
      <c r="A83" s="54">
        <v>7.7</v>
      </c>
    </row>
    <row r="84" spans="1:1" x14ac:dyDescent="0.2">
      <c r="A84" s="54">
        <v>7.8</v>
      </c>
    </row>
    <row r="85" spans="1:1" x14ac:dyDescent="0.2">
      <c r="A85" s="54">
        <v>7.9</v>
      </c>
    </row>
    <row r="86" spans="1:1" x14ac:dyDescent="0.2">
      <c r="A86" s="54">
        <v>8</v>
      </c>
    </row>
    <row r="87" spans="1:1" x14ac:dyDescent="0.2">
      <c r="A87" s="54">
        <v>8.1</v>
      </c>
    </row>
    <row r="88" spans="1:1" x14ac:dyDescent="0.2">
      <c r="A88" s="54">
        <v>8.1999999999999993</v>
      </c>
    </row>
    <row r="89" spans="1:1" x14ac:dyDescent="0.2">
      <c r="A89" s="54">
        <v>8.3000000000000007</v>
      </c>
    </row>
    <row r="90" spans="1:1" x14ac:dyDescent="0.2">
      <c r="A90" s="54">
        <v>8.4</v>
      </c>
    </row>
    <row r="91" spans="1:1" x14ac:dyDescent="0.2">
      <c r="A91" s="54">
        <v>8.5</v>
      </c>
    </row>
    <row r="92" spans="1:1" x14ac:dyDescent="0.2">
      <c r="A92" s="54">
        <v>8.6</v>
      </c>
    </row>
    <row r="93" spans="1:1" x14ac:dyDescent="0.2">
      <c r="A93" s="54">
        <v>8.6999999999999993</v>
      </c>
    </row>
    <row r="94" spans="1:1" x14ac:dyDescent="0.2">
      <c r="A94" s="54">
        <v>8.8000000000000007</v>
      </c>
    </row>
    <row r="95" spans="1:1" x14ac:dyDescent="0.2">
      <c r="A95" s="54">
        <v>8.9</v>
      </c>
    </row>
    <row r="96" spans="1:1" x14ac:dyDescent="0.2">
      <c r="A96" s="54">
        <v>9</v>
      </c>
    </row>
    <row r="97" spans="1:1" x14ac:dyDescent="0.2">
      <c r="A97" s="54">
        <v>9.1</v>
      </c>
    </row>
    <row r="98" spans="1:1" x14ac:dyDescent="0.2">
      <c r="A98" s="54">
        <v>9.1999999999999993</v>
      </c>
    </row>
    <row r="99" spans="1:1" x14ac:dyDescent="0.2">
      <c r="A99" s="54">
        <v>9.3000000000000007</v>
      </c>
    </row>
    <row r="100" spans="1:1" x14ac:dyDescent="0.2">
      <c r="A100" s="54">
        <v>9.4</v>
      </c>
    </row>
    <row r="101" spans="1:1" x14ac:dyDescent="0.2">
      <c r="A101" s="54">
        <v>9.5</v>
      </c>
    </row>
    <row r="102" spans="1:1" x14ac:dyDescent="0.2">
      <c r="A102" s="54">
        <v>9.6</v>
      </c>
    </row>
    <row r="103" spans="1:1" x14ac:dyDescent="0.2">
      <c r="A103" s="54">
        <v>9.6999999999999993</v>
      </c>
    </row>
    <row r="104" spans="1:1" x14ac:dyDescent="0.2">
      <c r="A104" s="54">
        <v>9.8000000000000007</v>
      </c>
    </row>
    <row r="105" spans="1:1" x14ac:dyDescent="0.2">
      <c r="A105" s="54">
        <v>9.9</v>
      </c>
    </row>
    <row r="106" spans="1:1" x14ac:dyDescent="0.2">
      <c r="A106" s="54">
        <v>10</v>
      </c>
    </row>
    <row r="107" spans="1:1" x14ac:dyDescent="0.2">
      <c r="A107" s="54">
        <v>10.1</v>
      </c>
    </row>
    <row r="108" spans="1:1" x14ac:dyDescent="0.2">
      <c r="A108" s="54">
        <v>10.199999999999999</v>
      </c>
    </row>
    <row r="109" spans="1:1" x14ac:dyDescent="0.2">
      <c r="A109" s="54">
        <v>10.3</v>
      </c>
    </row>
    <row r="110" spans="1:1" x14ac:dyDescent="0.2">
      <c r="A110" s="54">
        <v>10.4</v>
      </c>
    </row>
    <row r="111" spans="1:1" x14ac:dyDescent="0.2">
      <c r="A111" s="54">
        <v>10.5</v>
      </c>
    </row>
    <row r="112" spans="1:1" x14ac:dyDescent="0.2">
      <c r="A112" s="54">
        <v>10.6</v>
      </c>
    </row>
    <row r="113" spans="1:1" x14ac:dyDescent="0.2">
      <c r="A113" s="54">
        <v>10.7</v>
      </c>
    </row>
    <row r="114" spans="1:1" x14ac:dyDescent="0.2">
      <c r="A114" s="54">
        <v>10.8</v>
      </c>
    </row>
    <row r="115" spans="1:1" x14ac:dyDescent="0.2">
      <c r="A115" s="54">
        <v>10.9</v>
      </c>
    </row>
    <row r="116" spans="1:1" x14ac:dyDescent="0.2">
      <c r="A116" s="54">
        <v>11</v>
      </c>
    </row>
    <row r="117" spans="1:1" x14ac:dyDescent="0.2">
      <c r="A117" s="54">
        <v>11.1</v>
      </c>
    </row>
    <row r="118" spans="1:1" x14ac:dyDescent="0.2">
      <c r="A118" s="54">
        <v>11.2</v>
      </c>
    </row>
    <row r="119" spans="1:1" x14ac:dyDescent="0.2">
      <c r="A119" s="54">
        <v>11.3</v>
      </c>
    </row>
    <row r="120" spans="1:1" x14ac:dyDescent="0.2">
      <c r="A120" s="54">
        <v>11.4</v>
      </c>
    </row>
    <row r="121" spans="1:1" x14ac:dyDescent="0.2">
      <c r="A121" s="54">
        <v>11.5</v>
      </c>
    </row>
    <row r="122" spans="1:1" x14ac:dyDescent="0.2">
      <c r="A122" s="54">
        <v>11.6</v>
      </c>
    </row>
    <row r="123" spans="1:1" x14ac:dyDescent="0.2">
      <c r="A123" s="54">
        <v>11.7</v>
      </c>
    </row>
    <row r="124" spans="1:1" x14ac:dyDescent="0.2">
      <c r="A124" s="54">
        <v>11.8</v>
      </c>
    </row>
    <row r="125" spans="1:1" x14ac:dyDescent="0.2">
      <c r="A125" s="54">
        <v>11.9</v>
      </c>
    </row>
    <row r="126" spans="1:1" x14ac:dyDescent="0.2">
      <c r="A126" s="54">
        <v>12</v>
      </c>
    </row>
    <row r="127" spans="1:1" x14ac:dyDescent="0.2">
      <c r="A127" s="54">
        <v>12.1</v>
      </c>
    </row>
    <row r="128" spans="1:1" x14ac:dyDescent="0.2">
      <c r="A128" s="54">
        <v>12.2</v>
      </c>
    </row>
    <row r="129" spans="1:1" x14ac:dyDescent="0.2">
      <c r="A129" s="54">
        <v>12.3</v>
      </c>
    </row>
    <row r="130" spans="1:1" x14ac:dyDescent="0.2">
      <c r="A130" s="54">
        <v>12.4</v>
      </c>
    </row>
    <row r="131" spans="1:1" x14ac:dyDescent="0.2">
      <c r="A131" s="54">
        <v>12.5</v>
      </c>
    </row>
    <row r="132" spans="1:1" x14ac:dyDescent="0.2">
      <c r="A132" s="54">
        <v>12.6</v>
      </c>
    </row>
    <row r="133" spans="1:1" x14ac:dyDescent="0.2">
      <c r="A133" s="54">
        <v>12.7</v>
      </c>
    </row>
    <row r="134" spans="1:1" x14ac:dyDescent="0.2">
      <c r="A134" s="54">
        <v>12.8</v>
      </c>
    </row>
    <row r="135" spans="1:1" x14ac:dyDescent="0.2">
      <c r="A135" s="54">
        <v>12.9</v>
      </c>
    </row>
    <row r="136" spans="1:1" x14ac:dyDescent="0.2">
      <c r="A136" s="54">
        <v>13</v>
      </c>
    </row>
    <row r="137" spans="1:1" x14ac:dyDescent="0.2">
      <c r="A137" s="54">
        <v>13.1</v>
      </c>
    </row>
    <row r="138" spans="1:1" x14ac:dyDescent="0.2">
      <c r="A138" s="54">
        <v>13.2</v>
      </c>
    </row>
    <row r="139" spans="1:1" x14ac:dyDescent="0.2">
      <c r="A139" s="54">
        <v>13.3</v>
      </c>
    </row>
    <row r="140" spans="1:1" x14ac:dyDescent="0.2">
      <c r="A140" s="54">
        <v>13.4</v>
      </c>
    </row>
    <row r="141" spans="1:1" x14ac:dyDescent="0.2">
      <c r="A141" s="54">
        <v>13.5</v>
      </c>
    </row>
    <row r="142" spans="1:1" x14ac:dyDescent="0.2">
      <c r="A142" s="54">
        <v>13.6</v>
      </c>
    </row>
    <row r="143" spans="1:1" x14ac:dyDescent="0.2">
      <c r="A143" s="54">
        <v>13.7</v>
      </c>
    </row>
    <row r="144" spans="1:1" x14ac:dyDescent="0.2">
      <c r="A144" s="54">
        <v>13.8</v>
      </c>
    </row>
    <row r="145" spans="1:1" x14ac:dyDescent="0.2">
      <c r="A145" s="54">
        <v>13.9</v>
      </c>
    </row>
    <row r="146" spans="1:1" x14ac:dyDescent="0.2">
      <c r="A146" s="54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BBB1-026E-48CD-82C4-FFC74FBC838E}">
  <sheetPr>
    <tabColor theme="6" tint="-0.249977111117893"/>
  </sheetPr>
  <dimension ref="A1:W150"/>
  <sheetViews>
    <sheetView view="pageLayout" zoomScaleNormal="100" workbookViewId="0">
      <selection activeCell="T5" sqref="T5"/>
    </sheetView>
  </sheetViews>
  <sheetFormatPr baseColWidth="10" defaultColWidth="9.140625" defaultRowHeight="18" customHeight="1" x14ac:dyDescent="0.2"/>
  <cols>
    <col min="1" max="1" width="3.5703125" style="11" customWidth="1"/>
    <col min="2" max="2" width="6.140625" style="14" customWidth="1"/>
    <col min="3" max="3" width="10.140625" style="14" customWidth="1"/>
    <col min="4" max="7" width="6.42578125" style="14" customWidth="1"/>
    <col min="8" max="8" width="8.85546875" style="14" customWidth="1"/>
    <col min="9" max="9" width="4.7109375" style="14" customWidth="1"/>
    <col min="10" max="12" width="6.42578125" style="14" customWidth="1"/>
    <col min="13" max="13" width="42.140625" style="14" customWidth="1"/>
    <col min="14" max="23" width="4" style="14" customWidth="1"/>
    <col min="24" max="16384" width="9.140625" style="14"/>
  </cols>
  <sheetData>
    <row r="1" spans="1:23" s="10" customFormat="1" ht="20.25" thickBot="1" x14ac:dyDescent="0.35">
      <c r="A1" s="70"/>
      <c r="B1" s="71" t="s">
        <v>787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 t="s">
        <v>793</v>
      </c>
      <c r="N1" s="71"/>
      <c r="O1" s="72"/>
      <c r="P1" s="73"/>
      <c r="Q1" s="73"/>
      <c r="R1" s="73"/>
      <c r="S1" s="73"/>
      <c r="T1" s="73"/>
      <c r="U1" s="73"/>
      <c r="V1" s="73"/>
      <c r="W1" s="73"/>
    </row>
    <row r="2" spans="1:23" ht="18" customHeight="1" thickTop="1" x14ac:dyDescent="0.2">
      <c r="A2" s="56"/>
      <c r="B2" s="57"/>
      <c r="C2" s="58" t="s">
        <v>2</v>
      </c>
      <c r="D2" s="83" t="str">
        <f>sorten_name</f>
        <v>Tropicanna Poison - F1 Fast Version</v>
      </c>
      <c r="E2" s="83"/>
      <c r="F2" s="83"/>
      <c r="G2" s="83"/>
      <c r="H2" s="83"/>
      <c r="I2" s="59"/>
      <c r="J2" s="60"/>
      <c r="K2" s="60"/>
      <c r="L2" s="60"/>
      <c r="M2" s="61" t="s">
        <v>792</v>
      </c>
      <c r="N2" s="62">
        <f>carbonathaerte</f>
        <v>8</v>
      </c>
      <c r="O2" s="60"/>
      <c r="P2" s="63"/>
      <c r="Q2" s="63"/>
      <c r="R2" s="60"/>
      <c r="S2" s="60"/>
      <c r="T2" s="60"/>
      <c r="U2" s="60"/>
      <c r="V2" s="60"/>
      <c r="W2" s="60"/>
    </row>
    <row r="3" spans="1:23" ht="18" customHeight="1" x14ac:dyDescent="0.2">
      <c r="A3" s="64"/>
      <c r="B3" s="65"/>
      <c r="C3" s="66" t="s">
        <v>3</v>
      </c>
      <c r="D3" s="84" t="str">
        <f>sorten_hersteller</f>
        <v>Sweet Seeds</v>
      </c>
      <c r="E3" s="84"/>
      <c r="F3" s="84"/>
      <c r="G3" s="84"/>
      <c r="H3" s="84"/>
      <c r="I3" s="59"/>
      <c r="J3" s="60"/>
      <c r="K3" s="60"/>
      <c r="L3" s="60"/>
      <c r="M3" s="60"/>
      <c r="N3" s="60"/>
      <c r="O3" s="60"/>
      <c r="P3" s="60"/>
      <c r="Q3" s="63"/>
      <c r="R3" s="60"/>
      <c r="S3" s="60"/>
      <c r="T3" s="60"/>
      <c r="U3" s="60"/>
      <c r="V3" s="60"/>
      <c r="W3" s="60"/>
    </row>
    <row r="4" spans="1:23" ht="18" customHeight="1" x14ac:dyDescent="0.2">
      <c r="A4" s="64"/>
      <c r="B4" s="65"/>
      <c r="C4" s="66" t="s">
        <v>4</v>
      </c>
      <c r="D4" s="84" t="str">
        <f>substrat</f>
        <v>Flooradur B Cutting</v>
      </c>
      <c r="E4" s="84"/>
      <c r="F4" s="84"/>
      <c r="G4" s="84"/>
      <c r="H4" s="84"/>
      <c r="I4" s="59"/>
      <c r="J4" s="60"/>
      <c r="K4" s="60"/>
      <c r="L4" s="60"/>
      <c r="M4" s="60"/>
      <c r="N4" s="60"/>
      <c r="O4" s="60"/>
      <c r="P4" s="63"/>
      <c r="Q4" s="63"/>
      <c r="R4" s="60"/>
      <c r="S4" s="60"/>
      <c r="T4" s="60"/>
      <c r="U4" s="60"/>
      <c r="V4" s="60"/>
      <c r="W4" s="60"/>
    </row>
    <row r="5" spans="1:23" ht="18" customHeight="1" x14ac:dyDescent="0.2">
      <c r="A5" s="64"/>
      <c r="B5" s="65"/>
      <c r="C5" s="66" t="s">
        <v>5</v>
      </c>
      <c r="D5" s="85">
        <f>anfangs_datum</f>
        <v>45896</v>
      </c>
      <c r="E5" s="85"/>
      <c r="F5" s="85"/>
      <c r="G5" s="85"/>
      <c r="H5" s="85"/>
      <c r="I5" s="59"/>
      <c r="J5" s="60"/>
      <c r="K5" s="60"/>
      <c r="L5" s="60"/>
      <c r="M5" s="60"/>
      <c r="N5" s="60"/>
      <c r="O5" s="60"/>
      <c r="P5" s="63"/>
      <c r="Q5" s="63"/>
      <c r="R5" s="60"/>
      <c r="S5" s="60"/>
      <c r="T5" s="60"/>
      <c r="U5" s="60"/>
      <c r="V5" s="60"/>
      <c r="W5" s="60"/>
    </row>
    <row r="6" spans="1:23" ht="18" customHeight="1" x14ac:dyDescent="0.2">
      <c r="A6" s="64"/>
      <c r="B6" s="65"/>
      <c r="C6" s="66" t="s">
        <v>6</v>
      </c>
      <c r="D6" s="86" t="s">
        <v>794</v>
      </c>
      <c r="E6" s="86"/>
      <c r="F6" s="86"/>
      <c r="G6" s="86"/>
      <c r="H6" s="86"/>
      <c r="I6" s="59"/>
      <c r="J6" s="60"/>
      <c r="K6" s="60"/>
      <c r="L6" s="60"/>
      <c r="M6" s="60"/>
      <c r="N6" s="60"/>
      <c r="O6" s="60"/>
      <c r="P6" s="63"/>
      <c r="Q6" s="63"/>
      <c r="R6" s="60"/>
      <c r="S6" s="60"/>
      <c r="T6" s="60"/>
      <c r="U6" s="60"/>
      <c r="V6" s="60"/>
      <c r="W6" s="60"/>
    </row>
    <row r="7" spans="1:23" ht="18" customHeight="1" thickBot="1" x14ac:dyDescent="0.25">
      <c r="A7" s="67"/>
      <c r="B7" s="68"/>
      <c r="C7" s="69" t="s">
        <v>7</v>
      </c>
      <c r="D7" s="87" t="s">
        <v>8</v>
      </c>
      <c r="E7" s="87"/>
      <c r="F7" s="87"/>
      <c r="G7" s="87"/>
      <c r="H7" s="87"/>
      <c r="I7" s="63"/>
      <c r="J7" s="60"/>
      <c r="K7" s="60"/>
      <c r="L7" s="60"/>
      <c r="M7" s="60"/>
      <c r="N7" s="60"/>
      <c r="O7" s="60"/>
      <c r="P7" s="63"/>
      <c r="Q7" s="63"/>
      <c r="R7" s="60"/>
      <c r="S7" s="60"/>
      <c r="T7" s="60"/>
      <c r="U7" s="60"/>
      <c r="V7" s="60"/>
      <c r="W7" s="60"/>
    </row>
    <row r="8" spans="1:23" ht="18" customHeight="1" thickBot="1" x14ac:dyDescent="0.25">
      <c r="A8" s="80" t="s">
        <v>9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2"/>
    </row>
    <row r="9" spans="1:23" s="43" customFormat="1" ht="18" customHeight="1" thickBot="1" x14ac:dyDescent="0.25">
      <c r="A9" s="74"/>
      <c r="B9" s="75" t="str">
        <f>_xlfn.CONCAT("Tagebuch: ",anfangs_datum&amp;" ",sorten_hersteller&amp;" - ",sorten_name)</f>
        <v>Tagebuch: 45896 Sweet Seeds - Tropicanna Poison - F1 Fast Version</v>
      </c>
      <c r="C9" s="75"/>
      <c r="D9" s="75"/>
      <c r="E9" s="76"/>
      <c r="F9" s="75"/>
      <c r="G9" s="77"/>
      <c r="H9" s="78"/>
      <c r="I9" s="75"/>
      <c r="J9" s="79"/>
      <c r="K9" s="79"/>
      <c r="L9" s="79"/>
      <c r="M9" s="79"/>
      <c r="N9" s="79"/>
      <c r="O9" s="79"/>
      <c r="P9" s="75"/>
      <c r="Q9" s="75"/>
      <c r="R9" s="79"/>
      <c r="S9" s="79"/>
      <c r="T9" s="77"/>
      <c r="U9" s="77"/>
      <c r="V9" s="77"/>
      <c r="W9" s="77"/>
    </row>
    <row r="10" spans="1:23" s="49" customFormat="1" ht="69.75" customHeight="1" thickBot="1" x14ac:dyDescent="0.25">
      <c r="A10" s="47" t="s">
        <v>10</v>
      </c>
      <c r="B10" s="44" t="s">
        <v>11</v>
      </c>
      <c r="C10" s="44" t="s">
        <v>12</v>
      </c>
      <c r="D10" s="44" t="s">
        <v>13</v>
      </c>
      <c r="E10" s="44" t="s">
        <v>14</v>
      </c>
      <c r="F10" s="44" t="s">
        <v>15</v>
      </c>
      <c r="G10" s="44" t="s">
        <v>16</v>
      </c>
      <c r="H10" s="44" t="s">
        <v>17</v>
      </c>
      <c r="I10" s="44" t="s">
        <v>756</v>
      </c>
      <c r="J10" s="44" t="s">
        <v>18</v>
      </c>
      <c r="K10" s="44" t="s">
        <v>19</v>
      </c>
      <c r="L10" s="44" t="s">
        <v>20</v>
      </c>
      <c r="M10" s="48" t="s">
        <v>21</v>
      </c>
      <c r="N10" s="44" t="s">
        <v>22</v>
      </c>
      <c r="O10" s="44" t="s">
        <v>23</v>
      </c>
      <c r="P10" s="44" t="s">
        <v>780</v>
      </c>
      <c r="Q10" s="44" t="s">
        <v>24</v>
      </c>
      <c r="R10" s="48" t="s">
        <v>782</v>
      </c>
      <c r="S10" s="45" t="s">
        <v>783</v>
      </c>
      <c r="T10" s="45" t="s">
        <v>781</v>
      </c>
      <c r="U10" s="44" t="s">
        <v>785</v>
      </c>
      <c r="V10" s="44" t="s">
        <v>778</v>
      </c>
      <c r="W10" s="46" t="s">
        <v>786</v>
      </c>
    </row>
    <row r="11" spans="1:23" ht="18" customHeight="1" x14ac:dyDescent="0.2">
      <c r="A11" s="88">
        <v>1</v>
      </c>
      <c r="B11" s="50">
        <v>1</v>
      </c>
      <c r="C11" s="51">
        <f>D5</f>
        <v>45896</v>
      </c>
      <c r="D11" s="50"/>
      <c r="E11" s="50">
        <v>1</v>
      </c>
      <c r="F11" s="50">
        <v>1</v>
      </c>
      <c r="G11" s="50" cm="1">
        <f t="array" ref="G11">_xlfn.IFS(C11&lt;=anfangs_datum+5,100,C11&gt;=anfangs_datum+5,300)</f>
        <v>100</v>
      </c>
      <c r="H11" s="50"/>
      <c r="I11" s="50"/>
      <c r="J11" s="50">
        <v>0</v>
      </c>
      <c r="K11" s="50">
        <v>30</v>
      </c>
      <c r="L11" s="50">
        <v>0.4</v>
      </c>
      <c r="M11" s="50" t="s">
        <v>25</v>
      </c>
      <c r="N11" s="50">
        <v>23</v>
      </c>
      <c r="O11" s="50">
        <v>72</v>
      </c>
      <c r="P11" s="50">
        <v>0</v>
      </c>
      <c r="Q11" s="50">
        <f t="shared" ref="Q11:Q42" si="0">IF(C11&lt;datum_vegitations_ende,18,12)</f>
        <v>18</v>
      </c>
      <c r="R11" s="50"/>
      <c r="S11" s="52"/>
      <c r="T11" s="50"/>
      <c r="U11" s="50"/>
      <c r="V11" s="50"/>
      <c r="W11" s="50"/>
    </row>
    <row r="12" spans="1:23" ht="18" customHeight="1" x14ac:dyDescent="0.2">
      <c r="A12" s="89"/>
      <c r="B12" s="30">
        <v>2</v>
      </c>
      <c r="C12" s="31">
        <f>($C$11-1)+B12</f>
        <v>45897</v>
      </c>
      <c r="D12" s="30"/>
      <c r="E12" s="30"/>
      <c r="F12" s="30"/>
      <c r="G12" s="27" cm="1">
        <f t="array" ref="G12">_xlfn.IFS(C12&lt;=anfangs_datum+5,100,C12&gt;=anfangs_datum+5,300)</f>
        <v>100</v>
      </c>
      <c r="H12" s="27"/>
      <c r="I12" s="27"/>
      <c r="J12" s="27">
        <v>0</v>
      </c>
      <c r="K12" s="27">
        <v>0</v>
      </c>
      <c r="L12" s="27"/>
      <c r="M12" s="32"/>
      <c r="N12" s="27">
        <v>23</v>
      </c>
      <c r="O12" s="27">
        <v>72</v>
      </c>
      <c r="P12" s="27"/>
      <c r="Q12" s="27">
        <f t="shared" si="0"/>
        <v>18</v>
      </c>
      <c r="R12" s="30"/>
      <c r="S12" s="33"/>
      <c r="T12" s="30"/>
      <c r="U12" s="30"/>
      <c r="V12" s="30"/>
      <c r="W12" s="30"/>
    </row>
    <row r="13" spans="1:23" ht="18" customHeight="1" x14ac:dyDescent="0.2">
      <c r="A13" s="89"/>
      <c r="B13" s="30">
        <v>3</v>
      </c>
      <c r="C13" s="31">
        <f t="shared" ref="C13:C76" si="1">($C$11-1)+B13</f>
        <v>45898</v>
      </c>
      <c r="D13" s="30"/>
      <c r="E13" s="30"/>
      <c r="F13" s="30"/>
      <c r="G13" s="27" cm="1">
        <f t="array" ref="G13">_xlfn.IFS(C13&lt;=anfangs_datum+5,100,C13&gt;=anfangs_datum+5,300)</f>
        <v>100</v>
      </c>
      <c r="H13" s="27"/>
      <c r="I13" s="27"/>
      <c r="J13" s="27">
        <v>0</v>
      </c>
      <c r="K13" s="27">
        <v>30</v>
      </c>
      <c r="L13" s="27"/>
      <c r="M13" s="30"/>
      <c r="N13" s="27">
        <v>23</v>
      </c>
      <c r="O13" s="27">
        <v>72</v>
      </c>
      <c r="P13" s="27"/>
      <c r="Q13" s="27">
        <f t="shared" si="0"/>
        <v>18</v>
      </c>
      <c r="R13" s="30"/>
      <c r="S13" s="33"/>
      <c r="T13" s="30"/>
      <c r="U13" s="30"/>
      <c r="V13" s="30"/>
      <c r="W13" s="30"/>
    </row>
    <row r="14" spans="1:23" ht="18" customHeight="1" x14ac:dyDescent="0.2">
      <c r="A14" s="89"/>
      <c r="B14" s="30">
        <v>4</v>
      </c>
      <c r="C14" s="31">
        <f t="shared" si="1"/>
        <v>45899</v>
      </c>
      <c r="D14" s="30"/>
      <c r="E14" s="30"/>
      <c r="F14" s="30"/>
      <c r="G14" s="27" cm="1">
        <f t="array" ref="G14">_xlfn.IFS(C14&lt;=anfangs_datum+5,100,C14&gt;=anfangs_datum+5,300)</f>
        <v>100</v>
      </c>
      <c r="H14" s="27"/>
      <c r="I14" s="27"/>
      <c r="J14" s="27">
        <v>0</v>
      </c>
      <c r="K14" s="27">
        <v>20</v>
      </c>
      <c r="L14" s="27"/>
      <c r="M14" s="30"/>
      <c r="N14" s="27">
        <v>23</v>
      </c>
      <c r="O14" s="27">
        <v>72</v>
      </c>
      <c r="P14" s="27"/>
      <c r="Q14" s="27">
        <f t="shared" si="0"/>
        <v>18</v>
      </c>
      <c r="R14" s="30"/>
      <c r="S14" s="33"/>
      <c r="T14" s="30"/>
      <c r="U14" s="30"/>
      <c r="V14" s="30"/>
      <c r="W14" s="30"/>
    </row>
    <row r="15" spans="1:23" ht="18" customHeight="1" x14ac:dyDescent="0.2">
      <c r="A15" s="89"/>
      <c r="B15" s="30">
        <v>5</v>
      </c>
      <c r="C15" s="31">
        <f t="shared" si="1"/>
        <v>45900</v>
      </c>
      <c r="D15" s="30"/>
      <c r="E15" s="30"/>
      <c r="F15" s="30"/>
      <c r="G15" s="27" cm="1">
        <f t="array" ref="G15">_xlfn.IFS(C15&lt;=anfangs_datum+5,100,C15&gt;=anfangs_datum+5,300)</f>
        <v>100</v>
      </c>
      <c r="H15" s="27"/>
      <c r="I15" s="27"/>
      <c r="J15" s="27">
        <v>0</v>
      </c>
      <c r="K15" s="27">
        <v>0</v>
      </c>
      <c r="L15" s="27"/>
      <c r="M15" s="30"/>
      <c r="N15" s="27">
        <v>23</v>
      </c>
      <c r="O15" s="27">
        <v>72</v>
      </c>
      <c r="P15" s="27"/>
      <c r="Q15" s="27">
        <f t="shared" si="0"/>
        <v>18</v>
      </c>
      <c r="R15" s="30"/>
      <c r="S15" s="33"/>
      <c r="T15" s="30"/>
      <c r="U15" s="30"/>
      <c r="V15" s="30"/>
      <c r="W15" s="30"/>
    </row>
    <row r="16" spans="1:23" ht="18" customHeight="1" x14ac:dyDescent="0.2">
      <c r="A16" s="89"/>
      <c r="B16" s="30">
        <v>6</v>
      </c>
      <c r="C16" s="31">
        <f t="shared" si="1"/>
        <v>45901</v>
      </c>
      <c r="D16" s="30"/>
      <c r="E16" s="30"/>
      <c r="F16" s="30"/>
      <c r="G16" s="34" cm="1">
        <f t="array" ref="G16">_xlfn.IFS(C16&lt;=anfangs_datum+5,100,C16&gt;=anfangs_datum+5,300)</f>
        <v>100</v>
      </c>
      <c r="H16" s="27"/>
      <c r="I16" s="27"/>
      <c r="J16" s="27">
        <v>0</v>
      </c>
      <c r="K16" s="27"/>
      <c r="L16" s="27"/>
      <c r="M16" s="30"/>
      <c r="N16" s="30">
        <v>25</v>
      </c>
      <c r="O16" s="30">
        <v>70</v>
      </c>
      <c r="P16" s="27"/>
      <c r="Q16" s="27">
        <f t="shared" si="0"/>
        <v>18</v>
      </c>
      <c r="R16" s="30"/>
      <c r="S16" s="33"/>
      <c r="T16" s="30"/>
      <c r="U16" s="30"/>
      <c r="V16" s="30"/>
      <c r="W16" s="30"/>
    </row>
    <row r="17" spans="1:23" ht="18" customHeight="1" thickBot="1" x14ac:dyDescent="0.25">
      <c r="A17" s="90"/>
      <c r="B17" s="35">
        <v>7</v>
      </c>
      <c r="C17" s="36">
        <f t="shared" si="1"/>
        <v>45902</v>
      </c>
      <c r="D17" s="35"/>
      <c r="E17" s="35"/>
      <c r="F17" s="35"/>
      <c r="G17" s="35" cm="1">
        <f t="array" ref="G17">_xlfn.IFS(C17&lt;=anfangs_datum+5,100,C17&gt;=anfangs_datum+5,300)</f>
        <v>300</v>
      </c>
      <c r="H17" s="40"/>
      <c r="I17" s="40"/>
      <c r="J17" s="35">
        <v>0</v>
      </c>
      <c r="K17" s="35"/>
      <c r="L17" s="35"/>
      <c r="M17" s="35" t="s">
        <v>765</v>
      </c>
      <c r="N17" s="35">
        <v>25</v>
      </c>
      <c r="O17" s="35">
        <v>70</v>
      </c>
      <c r="P17" s="35"/>
      <c r="Q17" s="35">
        <f t="shared" si="0"/>
        <v>18</v>
      </c>
      <c r="R17" s="35"/>
      <c r="S17" s="37"/>
      <c r="T17" s="35"/>
      <c r="U17" s="35"/>
      <c r="V17" s="35"/>
      <c r="W17" s="35"/>
    </row>
    <row r="18" spans="1:23" ht="18" customHeight="1" x14ac:dyDescent="0.2">
      <c r="A18" s="88">
        <v>2</v>
      </c>
      <c r="B18" s="50">
        <v>8</v>
      </c>
      <c r="C18" s="51">
        <f t="shared" si="1"/>
        <v>45903</v>
      </c>
      <c r="D18" s="50"/>
      <c r="E18" s="50"/>
      <c r="F18" s="50"/>
      <c r="G18" s="50" cm="1">
        <f t="array" ref="G18">_xlfn.IFS(C18&lt;=anfangs_datum+5,100,C18&gt;=anfangs_datum+5,300)</f>
        <v>300</v>
      </c>
      <c r="H18" s="50"/>
      <c r="I18" s="50">
        <v>1</v>
      </c>
      <c r="J18" s="50">
        <v>3</v>
      </c>
      <c r="K18" s="50"/>
      <c r="L18" s="50"/>
      <c r="M18" s="50"/>
      <c r="N18" s="50">
        <v>25</v>
      </c>
      <c r="O18" s="50">
        <v>70</v>
      </c>
      <c r="P18" s="50"/>
      <c r="Q18" s="50">
        <f t="shared" si="0"/>
        <v>18</v>
      </c>
      <c r="R18" s="50"/>
      <c r="S18" s="52"/>
      <c r="T18" s="50"/>
      <c r="U18" s="50"/>
      <c r="V18" s="50"/>
      <c r="W18" s="50"/>
    </row>
    <row r="19" spans="1:23" ht="18" customHeight="1" x14ac:dyDescent="0.2">
      <c r="A19" s="89"/>
      <c r="B19" s="30">
        <v>9</v>
      </c>
      <c r="C19" s="31">
        <f t="shared" si="1"/>
        <v>45904</v>
      </c>
      <c r="D19" s="30"/>
      <c r="E19" s="30"/>
      <c r="F19" s="30"/>
      <c r="G19" s="27" cm="1">
        <f t="array" ref="G19">_xlfn.IFS(C19&lt;=anfangs_datum+5,100,C19&gt;=anfangs_datum+5,300)</f>
        <v>300</v>
      </c>
      <c r="H19" s="27"/>
      <c r="I19" s="27">
        <v>1</v>
      </c>
      <c r="J19" s="30">
        <v>3</v>
      </c>
      <c r="K19" s="30"/>
      <c r="L19" s="30"/>
      <c r="M19" s="30"/>
      <c r="N19" s="30">
        <v>25</v>
      </c>
      <c r="O19" s="30">
        <v>70</v>
      </c>
      <c r="P19" s="27"/>
      <c r="Q19" s="27">
        <f t="shared" si="0"/>
        <v>18</v>
      </c>
      <c r="R19" s="30"/>
      <c r="S19" s="33"/>
      <c r="T19" s="30"/>
      <c r="U19" s="30"/>
      <c r="V19" s="30"/>
      <c r="W19" s="30"/>
    </row>
    <row r="20" spans="1:23" ht="18" customHeight="1" x14ac:dyDescent="0.2">
      <c r="A20" s="89"/>
      <c r="B20" s="30">
        <v>10</v>
      </c>
      <c r="C20" s="31">
        <f t="shared" si="1"/>
        <v>45905</v>
      </c>
      <c r="D20" s="30"/>
      <c r="E20" s="30"/>
      <c r="F20" s="30"/>
      <c r="G20" s="27" cm="1">
        <f t="array" ref="G20">_xlfn.IFS(C20&lt;=anfangs_datum+5,100,C20&gt;=anfangs_datum+5,300)</f>
        <v>300</v>
      </c>
      <c r="H20" s="27"/>
      <c r="I20" s="27">
        <v>1</v>
      </c>
      <c r="J20" s="30">
        <v>3</v>
      </c>
      <c r="K20" s="30"/>
      <c r="L20" s="30"/>
      <c r="M20" s="30"/>
      <c r="N20" s="30">
        <v>25</v>
      </c>
      <c r="O20" s="30">
        <v>70</v>
      </c>
      <c r="P20" s="30"/>
      <c r="Q20" s="27">
        <f t="shared" si="0"/>
        <v>18</v>
      </c>
      <c r="R20" s="30"/>
      <c r="S20" s="33"/>
      <c r="T20" s="30"/>
      <c r="U20" s="30"/>
      <c r="V20" s="30"/>
      <c r="W20" s="30"/>
    </row>
    <row r="21" spans="1:23" ht="18" customHeight="1" x14ac:dyDescent="0.2">
      <c r="A21" s="89"/>
      <c r="B21" s="30">
        <v>11</v>
      </c>
      <c r="C21" s="31">
        <f t="shared" si="1"/>
        <v>45906</v>
      </c>
      <c r="D21" s="30"/>
      <c r="E21" s="30"/>
      <c r="F21" s="30"/>
      <c r="G21" s="27" cm="1">
        <f t="array" ref="G21">_xlfn.IFS(C21&lt;=anfangs_datum+5,100,C21&gt;=anfangs_datum+5,300)</f>
        <v>300</v>
      </c>
      <c r="H21" s="27"/>
      <c r="I21" s="27">
        <v>1</v>
      </c>
      <c r="J21" s="30">
        <v>3</v>
      </c>
      <c r="K21" s="30"/>
      <c r="L21" s="30"/>
      <c r="M21" s="30"/>
      <c r="N21" s="30">
        <v>25</v>
      </c>
      <c r="O21" s="30">
        <v>70</v>
      </c>
      <c r="P21" s="30"/>
      <c r="Q21" s="27">
        <f t="shared" si="0"/>
        <v>18</v>
      </c>
      <c r="R21" s="30"/>
      <c r="S21" s="33"/>
      <c r="T21" s="30"/>
      <c r="U21" s="30"/>
      <c r="V21" s="30"/>
      <c r="W21" s="30"/>
    </row>
    <row r="22" spans="1:23" ht="18" customHeight="1" x14ac:dyDescent="0.2">
      <c r="A22" s="89"/>
      <c r="B22" s="30">
        <v>12</v>
      </c>
      <c r="C22" s="31">
        <f t="shared" si="1"/>
        <v>45907</v>
      </c>
      <c r="D22" s="30"/>
      <c r="E22" s="30"/>
      <c r="F22" s="30"/>
      <c r="G22" s="27" cm="1">
        <f t="array" ref="G22">_xlfn.IFS(C22&lt;=anfangs_datum+5,100,C22&gt;=anfangs_datum+5,300)</f>
        <v>300</v>
      </c>
      <c r="H22" s="27"/>
      <c r="I22" s="27">
        <v>1</v>
      </c>
      <c r="J22" s="30">
        <v>3</v>
      </c>
      <c r="K22" s="30"/>
      <c r="L22" s="30"/>
      <c r="M22" s="30"/>
      <c r="N22" s="30">
        <v>25</v>
      </c>
      <c r="O22" s="30">
        <v>70</v>
      </c>
      <c r="P22" s="30"/>
      <c r="Q22" s="27">
        <f t="shared" si="0"/>
        <v>18</v>
      </c>
      <c r="R22" s="30"/>
      <c r="S22" s="33"/>
      <c r="T22" s="30"/>
      <c r="U22" s="30"/>
      <c r="V22" s="30"/>
      <c r="W22" s="30"/>
    </row>
    <row r="23" spans="1:23" ht="18" customHeight="1" x14ac:dyDescent="0.2">
      <c r="A23" s="89"/>
      <c r="B23" s="30">
        <v>13</v>
      </c>
      <c r="C23" s="31">
        <f t="shared" si="1"/>
        <v>45908</v>
      </c>
      <c r="D23" s="30"/>
      <c r="E23" s="30"/>
      <c r="F23" s="30"/>
      <c r="G23" s="27" cm="1">
        <f t="array" ref="G23">_xlfn.IFS(C23&lt;=anfangs_datum+5,100,C23&gt;=anfangs_datum+5,300)</f>
        <v>300</v>
      </c>
      <c r="H23" s="27"/>
      <c r="I23" s="27">
        <v>1</v>
      </c>
      <c r="J23" s="30">
        <v>3</v>
      </c>
      <c r="K23" s="30"/>
      <c r="L23" s="30"/>
      <c r="M23" s="30"/>
      <c r="N23" s="30">
        <v>25</v>
      </c>
      <c r="O23" s="30">
        <v>70</v>
      </c>
      <c r="P23" s="30"/>
      <c r="Q23" s="27">
        <f t="shared" si="0"/>
        <v>18</v>
      </c>
      <c r="R23" s="30"/>
      <c r="S23" s="33"/>
      <c r="T23" s="30"/>
      <c r="U23" s="30"/>
      <c r="V23" s="30"/>
      <c r="W23" s="30"/>
    </row>
    <row r="24" spans="1:23" ht="18" customHeight="1" thickBot="1" x14ac:dyDescent="0.25">
      <c r="A24" s="90"/>
      <c r="B24" s="35">
        <v>14</v>
      </c>
      <c r="C24" s="36">
        <f t="shared" si="1"/>
        <v>45909</v>
      </c>
      <c r="D24" s="35"/>
      <c r="E24" s="35"/>
      <c r="F24" s="35"/>
      <c r="G24" s="35" cm="1">
        <f t="array" ref="G24">_xlfn.IFS(C24&lt;=anfangs_datum+5,100,C24&gt;=anfangs_datum+5,300)</f>
        <v>300</v>
      </c>
      <c r="H24" s="40"/>
      <c r="I24" s="40">
        <v>1</v>
      </c>
      <c r="J24" s="35">
        <v>3</v>
      </c>
      <c r="K24" s="35"/>
      <c r="L24" s="35"/>
      <c r="M24" s="35"/>
      <c r="N24" s="35">
        <v>25</v>
      </c>
      <c r="O24" s="35">
        <v>70</v>
      </c>
      <c r="P24" s="35"/>
      <c r="Q24" s="35">
        <f t="shared" si="0"/>
        <v>18</v>
      </c>
      <c r="R24" s="35"/>
      <c r="S24" s="37"/>
      <c r="T24" s="35"/>
      <c r="U24" s="35"/>
      <c r="V24" s="35"/>
      <c r="W24" s="35"/>
    </row>
    <row r="25" spans="1:23" ht="18" customHeight="1" x14ac:dyDescent="0.2">
      <c r="A25" s="88">
        <v>3</v>
      </c>
      <c r="B25" s="50">
        <v>15</v>
      </c>
      <c r="C25" s="51">
        <f t="shared" si="1"/>
        <v>45910</v>
      </c>
      <c r="D25" s="50"/>
      <c r="E25" s="50"/>
      <c r="F25" s="50"/>
      <c r="G25" s="50" cm="1">
        <f t="array" ref="G25">_xlfn.IFS(C25&lt;=anfangs_datum+5,100,C25&gt;=anfangs_datum+5,300)</f>
        <v>300</v>
      </c>
      <c r="H25" s="50"/>
      <c r="I25" s="50">
        <v>1</v>
      </c>
      <c r="J25" s="50">
        <v>3</v>
      </c>
      <c r="K25" s="50"/>
      <c r="L25" s="50"/>
      <c r="M25" s="50"/>
      <c r="N25" s="50">
        <v>25</v>
      </c>
      <c r="O25" s="50">
        <v>70</v>
      </c>
      <c r="P25" s="50"/>
      <c r="Q25" s="50">
        <f t="shared" si="0"/>
        <v>18</v>
      </c>
      <c r="R25" s="50"/>
      <c r="S25" s="52"/>
      <c r="T25" s="50"/>
      <c r="U25" s="50"/>
      <c r="V25" s="50"/>
      <c r="W25" s="50"/>
    </row>
    <row r="26" spans="1:23" ht="18" customHeight="1" x14ac:dyDescent="0.2">
      <c r="A26" s="89"/>
      <c r="B26" s="30">
        <v>16</v>
      </c>
      <c r="C26" s="31">
        <f t="shared" si="1"/>
        <v>45911</v>
      </c>
      <c r="D26" s="30"/>
      <c r="E26" s="30"/>
      <c r="F26" s="30"/>
      <c r="G26" s="27" cm="1">
        <f t="array" ref="G26">_xlfn.IFS(C26&lt;=anfangs_datum+5,100,C26&gt;=anfangs_datum+5,300)</f>
        <v>300</v>
      </c>
      <c r="H26" s="27"/>
      <c r="I26" s="27">
        <v>1</v>
      </c>
      <c r="J26" s="30">
        <v>3</v>
      </c>
      <c r="K26" s="30"/>
      <c r="L26" s="30"/>
      <c r="M26" s="30"/>
      <c r="N26" s="30">
        <v>25</v>
      </c>
      <c r="O26" s="30">
        <v>70</v>
      </c>
      <c r="P26" s="30"/>
      <c r="Q26" s="27">
        <f t="shared" si="0"/>
        <v>18</v>
      </c>
      <c r="R26" s="30"/>
      <c r="S26" s="33"/>
      <c r="T26" s="30"/>
      <c r="U26" s="30"/>
      <c r="V26" s="30"/>
      <c r="W26" s="30"/>
    </row>
    <row r="27" spans="1:23" ht="18" customHeight="1" x14ac:dyDescent="0.2">
      <c r="A27" s="89"/>
      <c r="B27" s="30">
        <v>17</v>
      </c>
      <c r="C27" s="31">
        <f t="shared" si="1"/>
        <v>45912</v>
      </c>
      <c r="D27" s="30"/>
      <c r="E27" s="30"/>
      <c r="F27" s="30"/>
      <c r="G27" s="27" cm="1">
        <f t="array" ref="G27">_xlfn.IFS(C27&lt;=anfangs_datum+5,100,C27&gt;=anfangs_datum+5,300)</f>
        <v>300</v>
      </c>
      <c r="H27" s="27"/>
      <c r="I27" s="27">
        <v>1</v>
      </c>
      <c r="J27" s="30">
        <v>3</v>
      </c>
      <c r="K27" s="30"/>
      <c r="L27" s="30"/>
      <c r="M27" s="30"/>
      <c r="N27" s="30">
        <v>25</v>
      </c>
      <c r="O27" s="30">
        <v>70</v>
      </c>
      <c r="P27" s="30"/>
      <c r="Q27" s="27">
        <f t="shared" si="0"/>
        <v>18</v>
      </c>
      <c r="R27" s="30"/>
      <c r="S27" s="33"/>
      <c r="T27" s="30"/>
      <c r="U27" s="30"/>
      <c r="V27" s="30"/>
      <c r="W27" s="30"/>
    </row>
    <row r="28" spans="1:23" ht="18" customHeight="1" x14ac:dyDescent="0.2">
      <c r="A28" s="89"/>
      <c r="B28" s="30">
        <v>18</v>
      </c>
      <c r="C28" s="31">
        <f t="shared" si="1"/>
        <v>45913</v>
      </c>
      <c r="D28" s="30"/>
      <c r="E28" s="30"/>
      <c r="F28" s="30"/>
      <c r="G28" s="27" cm="1">
        <f t="array" ref="G28">_xlfn.IFS(C28&lt;=anfangs_datum+5,100,C28&gt;=anfangs_datum+5,300)</f>
        <v>300</v>
      </c>
      <c r="H28" s="27"/>
      <c r="I28" s="27">
        <v>1</v>
      </c>
      <c r="J28" s="30">
        <v>3</v>
      </c>
      <c r="K28" s="30"/>
      <c r="L28" s="30"/>
      <c r="M28" s="30"/>
      <c r="N28" s="30">
        <v>25</v>
      </c>
      <c r="O28" s="30">
        <v>70</v>
      </c>
      <c r="P28" s="30"/>
      <c r="Q28" s="27">
        <f t="shared" si="0"/>
        <v>18</v>
      </c>
      <c r="R28" s="30"/>
      <c r="S28" s="33"/>
      <c r="T28" s="30"/>
      <c r="U28" s="30"/>
      <c r="V28" s="30"/>
      <c r="W28" s="30"/>
    </row>
    <row r="29" spans="1:23" ht="18" customHeight="1" x14ac:dyDescent="0.2">
      <c r="A29" s="89"/>
      <c r="B29" s="30">
        <v>19</v>
      </c>
      <c r="C29" s="31">
        <f t="shared" si="1"/>
        <v>45914</v>
      </c>
      <c r="D29" s="30"/>
      <c r="E29" s="30"/>
      <c r="F29" s="30"/>
      <c r="G29" s="27" cm="1">
        <f t="array" ref="G29">_xlfn.IFS(C29&lt;=anfangs_datum+5,100,C29&gt;=anfangs_datum+5,300)</f>
        <v>300</v>
      </c>
      <c r="H29" s="27"/>
      <c r="I29" s="27">
        <v>1</v>
      </c>
      <c r="J29" s="30">
        <v>3</v>
      </c>
      <c r="K29" s="30"/>
      <c r="L29" s="30"/>
      <c r="M29" s="30"/>
      <c r="N29" s="30">
        <v>25</v>
      </c>
      <c r="O29" s="30">
        <v>70</v>
      </c>
      <c r="P29" s="30"/>
      <c r="Q29" s="27">
        <f t="shared" si="0"/>
        <v>18</v>
      </c>
      <c r="R29" s="30"/>
      <c r="S29" s="33"/>
      <c r="T29" s="30"/>
      <c r="U29" s="30"/>
      <c r="V29" s="30"/>
      <c r="W29" s="30"/>
    </row>
    <row r="30" spans="1:23" ht="18" customHeight="1" x14ac:dyDescent="0.2">
      <c r="A30" s="89"/>
      <c r="B30" s="30">
        <v>20</v>
      </c>
      <c r="C30" s="31">
        <f t="shared" si="1"/>
        <v>45915</v>
      </c>
      <c r="D30" s="30"/>
      <c r="E30" s="30"/>
      <c r="F30" s="30"/>
      <c r="G30" s="27" cm="1">
        <f t="array" ref="G30">_xlfn.IFS(C30&lt;=anfangs_datum+5,100,C30&gt;=anfangs_datum+5,300)</f>
        <v>300</v>
      </c>
      <c r="H30" s="27"/>
      <c r="I30" s="27">
        <v>1</v>
      </c>
      <c r="J30" s="30">
        <v>3</v>
      </c>
      <c r="K30" s="30"/>
      <c r="L30" s="30"/>
      <c r="M30" s="30"/>
      <c r="N30" s="30">
        <v>25</v>
      </c>
      <c r="O30" s="30">
        <v>70</v>
      </c>
      <c r="P30" s="30"/>
      <c r="Q30" s="27">
        <f t="shared" si="0"/>
        <v>18</v>
      </c>
      <c r="R30" s="30"/>
      <c r="S30" s="33"/>
      <c r="T30" s="30"/>
      <c r="U30" s="30"/>
      <c r="V30" s="30"/>
      <c r="W30" s="30"/>
    </row>
    <row r="31" spans="1:23" ht="18" customHeight="1" thickBot="1" x14ac:dyDescent="0.25">
      <c r="A31" s="90"/>
      <c r="B31" s="35">
        <v>21</v>
      </c>
      <c r="C31" s="36">
        <f t="shared" si="1"/>
        <v>45916</v>
      </c>
      <c r="D31" s="35"/>
      <c r="E31" s="35"/>
      <c r="F31" s="35"/>
      <c r="G31" s="35" cm="1">
        <f t="array" ref="G31">_xlfn.IFS(C31&lt;=anfangs_datum+5,100,C31&gt;=anfangs_datum+5,300)</f>
        <v>300</v>
      </c>
      <c r="H31" s="40"/>
      <c r="I31" s="40">
        <v>1</v>
      </c>
      <c r="J31" s="35">
        <v>3</v>
      </c>
      <c r="K31" s="35"/>
      <c r="L31" s="35"/>
      <c r="M31" s="35" t="s">
        <v>784</v>
      </c>
      <c r="N31" s="35">
        <v>25</v>
      </c>
      <c r="O31" s="35">
        <v>70</v>
      </c>
      <c r="P31" s="35"/>
      <c r="Q31" s="35">
        <f t="shared" si="0"/>
        <v>18</v>
      </c>
      <c r="R31" s="35"/>
      <c r="S31" s="37"/>
      <c r="T31" s="35"/>
      <c r="U31" s="35"/>
      <c r="V31" s="35"/>
      <c r="W31" s="35"/>
    </row>
    <row r="32" spans="1:23" ht="18" customHeight="1" x14ac:dyDescent="0.2">
      <c r="A32" s="88">
        <v>4</v>
      </c>
      <c r="B32" s="50">
        <v>22</v>
      </c>
      <c r="C32" s="51">
        <f t="shared" si="1"/>
        <v>45917</v>
      </c>
      <c r="D32" s="50"/>
      <c r="E32" s="50"/>
      <c r="F32" s="50"/>
      <c r="G32" s="50">
        <v>490</v>
      </c>
      <c r="H32" s="50"/>
      <c r="I32" s="50">
        <v>1</v>
      </c>
      <c r="J32" s="50">
        <v>3</v>
      </c>
      <c r="K32" s="50"/>
      <c r="L32" s="50"/>
      <c r="M32" s="50"/>
      <c r="N32" s="50">
        <v>25</v>
      </c>
      <c r="O32" s="50">
        <v>70</v>
      </c>
      <c r="P32" s="50"/>
      <c r="Q32" s="50">
        <f t="shared" si="0"/>
        <v>12</v>
      </c>
      <c r="R32" s="50"/>
      <c r="S32" s="52"/>
      <c r="T32" s="50"/>
      <c r="U32" s="50"/>
      <c r="V32" s="50"/>
      <c r="W32" s="50"/>
    </row>
    <row r="33" spans="1:23" ht="18" customHeight="1" x14ac:dyDescent="0.2">
      <c r="A33" s="89"/>
      <c r="B33" s="30">
        <v>23</v>
      </c>
      <c r="C33" s="31">
        <f t="shared" si="1"/>
        <v>45918</v>
      </c>
      <c r="D33" s="30"/>
      <c r="E33" s="30"/>
      <c r="F33" s="30"/>
      <c r="G33" s="38">
        <v>500</v>
      </c>
      <c r="H33" s="27"/>
      <c r="I33" s="27">
        <v>1</v>
      </c>
      <c r="J33" s="30">
        <v>3</v>
      </c>
      <c r="K33" s="30"/>
      <c r="L33" s="30"/>
      <c r="M33" s="30"/>
      <c r="N33" s="30"/>
      <c r="O33" s="30"/>
      <c r="P33" s="30"/>
      <c r="Q33" s="38">
        <f t="shared" si="0"/>
        <v>12</v>
      </c>
      <c r="R33" s="30"/>
      <c r="S33" s="33"/>
      <c r="T33" s="30"/>
      <c r="U33" s="30"/>
      <c r="V33" s="30"/>
      <c r="W33" s="30"/>
    </row>
    <row r="34" spans="1:23" ht="18" customHeight="1" x14ac:dyDescent="0.2">
      <c r="A34" s="89"/>
      <c r="B34" s="30">
        <v>24</v>
      </c>
      <c r="C34" s="31">
        <f t="shared" si="1"/>
        <v>45919</v>
      </c>
      <c r="D34" s="30"/>
      <c r="E34" s="30"/>
      <c r="F34" s="30"/>
      <c r="G34" s="38">
        <v>500</v>
      </c>
      <c r="H34" s="27"/>
      <c r="I34" s="27">
        <v>1</v>
      </c>
      <c r="J34" s="30">
        <v>3</v>
      </c>
      <c r="K34" s="30"/>
      <c r="L34" s="30"/>
      <c r="M34" s="30"/>
      <c r="N34" s="30"/>
      <c r="O34" s="30"/>
      <c r="P34" s="30"/>
      <c r="Q34" s="30">
        <f t="shared" si="0"/>
        <v>12</v>
      </c>
      <c r="R34" s="30"/>
      <c r="S34" s="33"/>
      <c r="T34" s="30"/>
      <c r="U34" s="30"/>
      <c r="V34" s="30"/>
      <c r="W34" s="30"/>
    </row>
    <row r="35" spans="1:23" ht="18" customHeight="1" x14ac:dyDescent="0.2">
      <c r="A35" s="89"/>
      <c r="B35" s="30">
        <v>25</v>
      </c>
      <c r="C35" s="31">
        <f t="shared" si="1"/>
        <v>45920</v>
      </c>
      <c r="D35" s="30"/>
      <c r="E35" s="30"/>
      <c r="F35" s="30"/>
      <c r="G35" s="38">
        <v>500</v>
      </c>
      <c r="H35" s="27"/>
      <c r="I35" s="27">
        <v>1</v>
      </c>
      <c r="J35" s="30">
        <v>3</v>
      </c>
      <c r="K35" s="30"/>
      <c r="L35" s="30"/>
      <c r="M35" s="30"/>
      <c r="N35" s="30"/>
      <c r="O35" s="30"/>
      <c r="P35" s="30"/>
      <c r="Q35" s="30">
        <f t="shared" si="0"/>
        <v>12</v>
      </c>
      <c r="R35" s="30"/>
      <c r="S35" s="33"/>
      <c r="T35" s="30"/>
      <c r="U35" s="30"/>
      <c r="V35" s="30"/>
      <c r="W35" s="30"/>
    </row>
    <row r="36" spans="1:23" ht="18" customHeight="1" x14ac:dyDescent="0.2">
      <c r="A36" s="89"/>
      <c r="B36" s="30">
        <v>26</v>
      </c>
      <c r="C36" s="31">
        <f t="shared" si="1"/>
        <v>45921</v>
      </c>
      <c r="D36" s="30"/>
      <c r="E36" s="30"/>
      <c r="F36" s="30"/>
      <c r="G36" s="38">
        <v>500</v>
      </c>
      <c r="H36" s="27"/>
      <c r="I36" s="27">
        <v>1</v>
      </c>
      <c r="J36" s="30">
        <v>3</v>
      </c>
      <c r="K36" s="30"/>
      <c r="L36" s="30"/>
      <c r="M36" s="30"/>
      <c r="N36" s="30"/>
      <c r="O36" s="30"/>
      <c r="P36" s="30"/>
      <c r="Q36" s="30">
        <f t="shared" si="0"/>
        <v>12</v>
      </c>
      <c r="R36" s="30"/>
      <c r="S36" s="33"/>
      <c r="T36" s="30"/>
      <c r="U36" s="30"/>
      <c r="V36" s="30"/>
      <c r="W36" s="30"/>
    </row>
    <row r="37" spans="1:23" ht="18" customHeight="1" x14ac:dyDescent="0.2">
      <c r="A37" s="89"/>
      <c r="B37" s="30">
        <v>27</v>
      </c>
      <c r="C37" s="31">
        <f t="shared" si="1"/>
        <v>45922</v>
      </c>
      <c r="D37" s="30"/>
      <c r="E37" s="30"/>
      <c r="F37" s="30"/>
      <c r="G37" s="38">
        <v>500</v>
      </c>
      <c r="H37" s="27"/>
      <c r="I37" s="27">
        <v>1</v>
      </c>
      <c r="J37" s="30">
        <v>3</v>
      </c>
      <c r="K37" s="30"/>
      <c r="L37" s="30"/>
      <c r="M37" s="30"/>
      <c r="N37" s="30"/>
      <c r="O37" s="30"/>
      <c r="P37" s="30"/>
      <c r="Q37" s="30">
        <f t="shared" si="0"/>
        <v>12</v>
      </c>
      <c r="R37" s="30"/>
      <c r="S37" s="33"/>
      <c r="T37" s="30"/>
      <c r="U37" s="30"/>
      <c r="V37" s="30"/>
      <c r="W37" s="30"/>
    </row>
    <row r="38" spans="1:23" ht="18" customHeight="1" thickBot="1" x14ac:dyDescent="0.25">
      <c r="A38" s="90"/>
      <c r="B38" s="35">
        <v>28</v>
      </c>
      <c r="C38" s="36">
        <f t="shared" si="1"/>
        <v>45923</v>
      </c>
      <c r="D38" s="35"/>
      <c r="E38" s="35"/>
      <c r="F38" s="35"/>
      <c r="G38" s="39">
        <v>500</v>
      </c>
      <c r="H38" s="40"/>
      <c r="I38" s="40">
        <v>1</v>
      </c>
      <c r="J38" s="35">
        <v>3</v>
      </c>
      <c r="K38" s="35"/>
      <c r="L38" s="35"/>
      <c r="M38" s="35"/>
      <c r="N38" s="35"/>
      <c r="O38" s="35"/>
      <c r="P38" s="35"/>
      <c r="Q38" s="35">
        <f t="shared" si="0"/>
        <v>12</v>
      </c>
      <c r="R38" s="35"/>
      <c r="S38" s="37"/>
      <c r="T38" s="35"/>
      <c r="U38" s="35"/>
      <c r="V38" s="35"/>
      <c r="W38" s="35"/>
    </row>
    <row r="39" spans="1:23" ht="18" customHeight="1" x14ac:dyDescent="0.2">
      <c r="A39" s="88">
        <v>5</v>
      </c>
      <c r="B39" s="50">
        <v>29</v>
      </c>
      <c r="C39" s="51">
        <f t="shared" si="1"/>
        <v>45924</v>
      </c>
      <c r="D39" s="50"/>
      <c r="E39" s="50"/>
      <c r="F39" s="50"/>
      <c r="G39" s="53">
        <v>500</v>
      </c>
      <c r="H39" s="50"/>
      <c r="I39" s="50">
        <v>1</v>
      </c>
      <c r="J39" s="50">
        <v>3</v>
      </c>
      <c r="K39" s="50"/>
      <c r="L39" s="50"/>
      <c r="M39" s="50"/>
      <c r="N39" s="50"/>
      <c r="O39" s="50"/>
      <c r="P39" s="50"/>
      <c r="Q39" s="50">
        <f t="shared" si="0"/>
        <v>12</v>
      </c>
      <c r="R39" s="50"/>
      <c r="S39" s="52"/>
      <c r="T39" s="50"/>
      <c r="U39" s="50"/>
      <c r="V39" s="50"/>
      <c r="W39" s="50"/>
    </row>
    <row r="40" spans="1:23" ht="18" customHeight="1" x14ac:dyDescent="0.2">
      <c r="A40" s="89"/>
      <c r="B40" s="30">
        <v>30</v>
      </c>
      <c r="C40" s="31">
        <f t="shared" si="1"/>
        <v>45925</v>
      </c>
      <c r="D40" s="30"/>
      <c r="E40" s="30"/>
      <c r="F40" s="30"/>
      <c r="G40" s="38">
        <v>500</v>
      </c>
      <c r="H40" s="27"/>
      <c r="I40" s="27">
        <v>1</v>
      </c>
      <c r="J40" s="30">
        <v>3</v>
      </c>
      <c r="K40" s="30"/>
      <c r="L40" s="30"/>
      <c r="M40" s="30"/>
      <c r="N40" s="30"/>
      <c r="O40" s="30"/>
      <c r="P40" s="30"/>
      <c r="Q40" s="30">
        <f t="shared" si="0"/>
        <v>12</v>
      </c>
      <c r="R40" s="30"/>
      <c r="S40" s="33"/>
      <c r="T40" s="30"/>
      <c r="U40" s="30"/>
      <c r="V40" s="30"/>
      <c r="W40" s="30"/>
    </row>
    <row r="41" spans="1:23" ht="18" customHeight="1" x14ac:dyDescent="0.2">
      <c r="A41" s="89"/>
      <c r="B41" s="30">
        <v>31</v>
      </c>
      <c r="C41" s="31">
        <f t="shared" si="1"/>
        <v>45926</v>
      </c>
      <c r="D41" s="30"/>
      <c r="E41" s="30"/>
      <c r="F41" s="30"/>
      <c r="G41" s="38">
        <v>500</v>
      </c>
      <c r="H41" s="27"/>
      <c r="I41" s="27">
        <v>1</v>
      </c>
      <c r="J41" s="30">
        <v>3</v>
      </c>
      <c r="K41" s="30"/>
      <c r="L41" s="30"/>
      <c r="M41" s="30"/>
      <c r="N41" s="30"/>
      <c r="O41" s="30"/>
      <c r="P41" s="30"/>
      <c r="Q41" s="30">
        <f t="shared" si="0"/>
        <v>12</v>
      </c>
      <c r="R41" s="30"/>
      <c r="S41" s="33"/>
      <c r="T41" s="30"/>
      <c r="U41" s="30"/>
      <c r="V41" s="30"/>
      <c r="W41" s="30"/>
    </row>
    <row r="42" spans="1:23" ht="18" customHeight="1" x14ac:dyDescent="0.2">
      <c r="A42" s="89"/>
      <c r="B42" s="30">
        <v>32</v>
      </c>
      <c r="C42" s="31">
        <f t="shared" si="1"/>
        <v>45927</v>
      </c>
      <c r="D42" s="30"/>
      <c r="E42" s="30"/>
      <c r="F42" s="30"/>
      <c r="G42" s="38">
        <v>500</v>
      </c>
      <c r="H42" s="27"/>
      <c r="I42" s="27">
        <v>1</v>
      </c>
      <c r="J42" s="30">
        <v>3</v>
      </c>
      <c r="K42" s="30"/>
      <c r="L42" s="30"/>
      <c r="M42" s="30"/>
      <c r="N42" s="30"/>
      <c r="O42" s="30"/>
      <c r="P42" s="30"/>
      <c r="Q42" s="30">
        <f t="shared" si="0"/>
        <v>12</v>
      </c>
      <c r="R42" s="30"/>
      <c r="S42" s="33"/>
      <c r="T42" s="30"/>
      <c r="U42" s="30"/>
      <c r="V42" s="30"/>
      <c r="W42" s="30"/>
    </row>
    <row r="43" spans="1:23" ht="18" customHeight="1" x14ac:dyDescent="0.2">
      <c r="A43" s="89"/>
      <c r="B43" s="30">
        <v>33</v>
      </c>
      <c r="C43" s="31">
        <f t="shared" si="1"/>
        <v>45928</v>
      </c>
      <c r="D43" s="30"/>
      <c r="E43" s="30"/>
      <c r="F43" s="30"/>
      <c r="G43" s="30"/>
      <c r="H43" s="27"/>
      <c r="I43" s="27">
        <v>1</v>
      </c>
      <c r="J43" s="30">
        <v>3</v>
      </c>
      <c r="K43" s="30"/>
      <c r="L43" s="30"/>
      <c r="M43" s="30"/>
      <c r="N43" s="30"/>
      <c r="O43" s="30"/>
      <c r="P43" s="30"/>
      <c r="Q43" s="30">
        <f t="shared" ref="Q43:Q74" si="2">IF(C43&lt;datum_vegitations_ende,18,12)</f>
        <v>12</v>
      </c>
      <c r="R43" s="30"/>
      <c r="S43" s="33"/>
      <c r="T43" s="30"/>
      <c r="U43" s="30"/>
      <c r="V43" s="30"/>
      <c r="W43" s="30"/>
    </row>
    <row r="44" spans="1:23" ht="18" customHeight="1" x14ac:dyDescent="0.2">
      <c r="A44" s="89"/>
      <c r="B44" s="30">
        <v>34</v>
      </c>
      <c r="C44" s="31">
        <f t="shared" si="1"/>
        <v>45929</v>
      </c>
      <c r="D44" s="30"/>
      <c r="E44" s="30"/>
      <c r="F44" s="30"/>
      <c r="G44" s="30"/>
      <c r="H44" s="27"/>
      <c r="I44" s="27">
        <v>1</v>
      </c>
      <c r="J44" s="30">
        <v>3</v>
      </c>
      <c r="K44" s="30"/>
      <c r="L44" s="30"/>
      <c r="M44" s="30"/>
      <c r="N44" s="30"/>
      <c r="O44" s="30"/>
      <c r="P44" s="30"/>
      <c r="Q44" s="30">
        <f t="shared" si="2"/>
        <v>12</v>
      </c>
      <c r="R44" s="30"/>
      <c r="S44" s="33"/>
      <c r="T44" s="30"/>
      <c r="U44" s="30"/>
      <c r="V44" s="30"/>
      <c r="W44" s="30"/>
    </row>
    <row r="45" spans="1:23" ht="18" customHeight="1" thickBot="1" x14ac:dyDescent="0.25">
      <c r="A45" s="90"/>
      <c r="B45" s="35">
        <v>35</v>
      </c>
      <c r="C45" s="36">
        <f t="shared" si="1"/>
        <v>45930</v>
      </c>
      <c r="D45" s="35"/>
      <c r="E45" s="35"/>
      <c r="F45" s="35"/>
      <c r="G45" s="35"/>
      <c r="H45" s="40"/>
      <c r="I45" s="40">
        <v>1</v>
      </c>
      <c r="J45" s="35">
        <v>3</v>
      </c>
      <c r="K45" s="35"/>
      <c r="L45" s="35"/>
      <c r="M45" s="35"/>
      <c r="N45" s="35"/>
      <c r="O45" s="35"/>
      <c r="P45" s="35"/>
      <c r="Q45" s="35">
        <f t="shared" si="2"/>
        <v>12</v>
      </c>
      <c r="R45" s="35"/>
      <c r="S45" s="37"/>
      <c r="T45" s="35"/>
      <c r="U45" s="35"/>
      <c r="V45" s="35"/>
      <c r="W45" s="35"/>
    </row>
    <row r="46" spans="1:23" ht="18" customHeight="1" x14ac:dyDescent="0.2">
      <c r="A46" s="88">
        <v>6</v>
      </c>
      <c r="B46" s="50">
        <v>36</v>
      </c>
      <c r="C46" s="51">
        <f t="shared" si="1"/>
        <v>45931</v>
      </c>
      <c r="D46" s="50"/>
      <c r="E46" s="50"/>
      <c r="F46" s="50"/>
      <c r="G46" s="50"/>
      <c r="H46" s="50"/>
      <c r="I46" s="50">
        <v>1</v>
      </c>
      <c r="J46" s="50">
        <v>3</v>
      </c>
      <c r="K46" s="50"/>
      <c r="L46" s="50"/>
      <c r="M46" s="50"/>
      <c r="N46" s="50"/>
      <c r="O46" s="50"/>
      <c r="P46" s="50"/>
      <c r="Q46" s="50">
        <f t="shared" si="2"/>
        <v>12</v>
      </c>
      <c r="R46" s="50"/>
      <c r="S46" s="52"/>
      <c r="T46" s="50"/>
      <c r="U46" s="50"/>
      <c r="V46" s="50"/>
      <c r="W46" s="50"/>
    </row>
    <row r="47" spans="1:23" ht="18" customHeight="1" x14ac:dyDescent="0.2">
      <c r="A47" s="89"/>
      <c r="B47" s="30">
        <v>37</v>
      </c>
      <c r="C47" s="31">
        <f t="shared" si="1"/>
        <v>45932</v>
      </c>
      <c r="D47" s="30"/>
      <c r="E47" s="30"/>
      <c r="F47" s="30"/>
      <c r="G47" s="30"/>
      <c r="H47" s="27"/>
      <c r="I47" s="27">
        <v>1</v>
      </c>
      <c r="J47" s="30">
        <v>3</v>
      </c>
      <c r="K47" s="30"/>
      <c r="L47" s="30"/>
      <c r="M47" s="30"/>
      <c r="N47" s="30"/>
      <c r="O47" s="30"/>
      <c r="P47" s="30"/>
      <c r="Q47" s="30">
        <f t="shared" si="2"/>
        <v>12</v>
      </c>
      <c r="R47" s="30"/>
      <c r="S47" s="33"/>
      <c r="T47" s="30"/>
      <c r="U47" s="30"/>
      <c r="V47" s="30"/>
      <c r="W47" s="30"/>
    </row>
    <row r="48" spans="1:23" ht="18" customHeight="1" x14ac:dyDescent="0.2">
      <c r="A48" s="89"/>
      <c r="B48" s="30">
        <v>38</v>
      </c>
      <c r="C48" s="31">
        <f t="shared" si="1"/>
        <v>45933</v>
      </c>
      <c r="D48" s="30"/>
      <c r="E48" s="30"/>
      <c r="F48" s="30"/>
      <c r="G48" s="30"/>
      <c r="H48" s="27"/>
      <c r="I48" s="27">
        <v>1</v>
      </c>
      <c r="J48" s="30">
        <v>3</v>
      </c>
      <c r="K48" s="30"/>
      <c r="L48" s="30"/>
      <c r="M48" s="30"/>
      <c r="N48" s="30"/>
      <c r="O48" s="30"/>
      <c r="P48" s="30"/>
      <c r="Q48" s="30">
        <f t="shared" si="2"/>
        <v>12</v>
      </c>
      <c r="R48" s="30"/>
      <c r="S48" s="33"/>
      <c r="T48" s="30"/>
      <c r="U48" s="30"/>
      <c r="V48" s="30"/>
      <c r="W48" s="30"/>
    </row>
    <row r="49" spans="1:23" ht="18" customHeight="1" x14ac:dyDescent="0.2">
      <c r="A49" s="89"/>
      <c r="B49" s="30">
        <v>39</v>
      </c>
      <c r="C49" s="31">
        <f t="shared" si="1"/>
        <v>45934</v>
      </c>
      <c r="D49" s="30"/>
      <c r="E49" s="30"/>
      <c r="F49" s="30"/>
      <c r="G49" s="30"/>
      <c r="H49" s="27"/>
      <c r="I49" s="27">
        <v>1</v>
      </c>
      <c r="J49" s="30">
        <v>3</v>
      </c>
      <c r="K49" s="30"/>
      <c r="L49" s="30"/>
      <c r="M49" s="30"/>
      <c r="N49" s="30"/>
      <c r="O49" s="30"/>
      <c r="P49" s="30"/>
      <c r="Q49" s="30">
        <f t="shared" si="2"/>
        <v>12</v>
      </c>
      <c r="R49" s="30"/>
      <c r="S49" s="33"/>
      <c r="T49" s="30"/>
      <c r="U49" s="30"/>
      <c r="V49" s="30"/>
      <c r="W49" s="30"/>
    </row>
    <row r="50" spans="1:23" ht="18" customHeight="1" x14ac:dyDescent="0.2">
      <c r="A50" s="89"/>
      <c r="B50" s="30">
        <v>40</v>
      </c>
      <c r="C50" s="31">
        <f t="shared" si="1"/>
        <v>45935</v>
      </c>
      <c r="D50" s="30"/>
      <c r="E50" s="30"/>
      <c r="F50" s="30"/>
      <c r="G50" s="30"/>
      <c r="H50" s="27"/>
      <c r="I50" s="27">
        <v>1</v>
      </c>
      <c r="J50" s="30">
        <v>3</v>
      </c>
      <c r="K50" s="30"/>
      <c r="L50" s="30"/>
      <c r="M50" s="30"/>
      <c r="N50" s="30"/>
      <c r="O50" s="30"/>
      <c r="P50" s="30"/>
      <c r="Q50" s="30">
        <f t="shared" si="2"/>
        <v>12</v>
      </c>
      <c r="R50" s="30"/>
      <c r="S50" s="33"/>
      <c r="T50" s="30"/>
      <c r="U50" s="30"/>
      <c r="V50" s="30"/>
      <c r="W50" s="30"/>
    </row>
    <row r="51" spans="1:23" ht="18" customHeight="1" x14ac:dyDescent="0.2">
      <c r="A51" s="89"/>
      <c r="B51" s="30">
        <v>41</v>
      </c>
      <c r="C51" s="31">
        <f t="shared" si="1"/>
        <v>45936</v>
      </c>
      <c r="D51" s="30"/>
      <c r="E51" s="30"/>
      <c r="F51" s="30"/>
      <c r="G51" s="30"/>
      <c r="H51" s="27"/>
      <c r="I51" s="27">
        <v>1</v>
      </c>
      <c r="J51" s="30">
        <v>3</v>
      </c>
      <c r="K51" s="30"/>
      <c r="L51" s="30"/>
      <c r="M51" s="30"/>
      <c r="N51" s="30"/>
      <c r="O51" s="30"/>
      <c r="P51" s="30"/>
      <c r="Q51" s="30">
        <f t="shared" si="2"/>
        <v>12</v>
      </c>
      <c r="R51" s="30"/>
      <c r="S51" s="33"/>
      <c r="T51" s="30"/>
      <c r="U51" s="30"/>
      <c r="V51" s="30"/>
      <c r="W51" s="30"/>
    </row>
    <row r="52" spans="1:23" ht="18" customHeight="1" thickBot="1" x14ac:dyDescent="0.25">
      <c r="A52" s="90"/>
      <c r="B52" s="35">
        <v>42</v>
      </c>
      <c r="C52" s="36">
        <f t="shared" si="1"/>
        <v>45937</v>
      </c>
      <c r="D52" s="35"/>
      <c r="E52" s="35"/>
      <c r="F52" s="35"/>
      <c r="G52" s="35"/>
      <c r="H52" s="40"/>
      <c r="I52" s="40">
        <v>1</v>
      </c>
      <c r="J52" s="35">
        <v>3</v>
      </c>
      <c r="K52" s="35"/>
      <c r="L52" s="35"/>
      <c r="M52" s="35"/>
      <c r="N52" s="35"/>
      <c r="O52" s="35"/>
      <c r="P52" s="35"/>
      <c r="Q52" s="35">
        <f t="shared" si="2"/>
        <v>12</v>
      </c>
      <c r="R52" s="35"/>
      <c r="S52" s="37"/>
      <c r="T52" s="35"/>
      <c r="U52" s="35"/>
      <c r="V52" s="35"/>
      <c r="W52" s="35"/>
    </row>
    <row r="53" spans="1:23" ht="18" customHeight="1" x14ac:dyDescent="0.2">
      <c r="A53" s="88">
        <v>7</v>
      </c>
      <c r="B53" s="50">
        <v>43</v>
      </c>
      <c r="C53" s="51">
        <f t="shared" si="1"/>
        <v>45938</v>
      </c>
      <c r="D53" s="50"/>
      <c r="E53" s="50"/>
      <c r="F53" s="50"/>
      <c r="G53" s="50"/>
      <c r="H53" s="50"/>
      <c r="I53" s="50">
        <v>1</v>
      </c>
      <c r="J53" s="50">
        <v>3</v>
      </c>
      <c r="K53" s="50"/>
      <c r="L53" s="50"/>
      <c r="M53" s="50"/>
      <c r="N53" s="50"/>
      <c r="O53" s="50"/>
      <c r="P53" s="50"/>
      <c r="Q53" s="50">
        <f t="shared" si="2"/>
        <v>12</v>
      </c>
      <c r="R53" s="50"/>
      <c r="S53" s="52"/>
      <c r="T53" s="50"/>
      <c r="U53" s="50"/>
      <c r="V53" s="50"/>
      <c r="W53" s="50"/>
    </row>
    <row r="54" spans="1:23" ht="18" customHeight="1" x14ac:dyDescent="0.2">
      <c r="A54" s="89"/>
      <c r="B54" s="30">
        <v>44</v>
      </c>
      <c r="C54" s="31">
        <f t="shared" si="1"/>
        <v>45939</v>
      </c>
      <c r="D54" s="30"/>
      <c r="E54" s="30"/>
      <c r="F54" s="30"/>
      <c r="G54" s="30"/>
      <c r="H54" s="27"/>
      <c r="I54" s="27">
        <v>1</v>
      </c>
      <c r="J54" s="30">
        <v>3</v>
      </c>
      <c r="K54" s="30"/>
      <c r="L54" s="30"/>
      <c r="M54" s="30"/>
      <c r="N54" s="30"/>
      <c r="O54" s="30"/>
      <c r="P54" s="30"/>
      <c r="Q54" s="30">
        <f t="shared" si="2"/>
        <v>12</v>
      </c>
      <c r="R54" s="30"/>
      <c r="S54" s="33"/>
      <c r="T54" s="30"/>
      <c r="U54" s="30"/>
      <c r="V54" s="30"/>
      <c r="W54" s="30"/>
    </row>
    <row r="55" spans="1:23" ht="18" customHeight="1" x14ac:dyDescent="0.2">
      <c r="A55" s="89"/>
      <c r="B55" s="30">
        <v>45</v>
      </c>
      <c r="C55" s="31">
        <f t="shared" si="1"/>
        <v>45940</v>
      </c>
      <c r="D55" s="30"/>
      <c r="E55" s="30"/>
      <c r="F55" s="30"/>
      <c r="G55" s="30"/>
      <c r="H55" s="27"/>
      <c r="I55" s="27">
        <v>1</v>
      </c>
      <c r="J55" s="30">
        <v>3</v>
      </c>
      <c r="K55" s="30"/>
      <c r="L55" s="30"/>
      <c r="M55" s="30"/>
      <c r="N55" s="30"/>
      <c r="O55" s="30"/>
      <c r="P55" s="30"/>
      <c r="Q55" s="30">
        <f t="shared" si="2"/>
        <v>12</v>
      </c>
      <c r="R55" s="30"/>
      <c r="S55" s="33"/>
      <c r="T55" s="30"/>
      <c r="U55" s="30"/>
      <c r="V55" s="30"/>
      <c r="W55" s="30"/>
    </row>
    <row r="56" spans="1:23" ht="18" customHeight="1" x14ac:dyDescent="0.2">
      <c r="A56" s="89"/>
      <c r="B56" s="30">
        <v>46</v>
      </c>
      <c r="C56" s="31">
        <f t="shared" si="1"/>
        <v>45941</v>
      </c>
      <c r="D56" s="30"/>
      <c r="E56" s="30"/>
      <c r="F56" s="30"/>
      <c r="G56" s="30"/>
      <c r="H56" s="27"/>
      <c r="I56" s="27">
        <v>1</v>
      </c>
      <c r="J56" s="30">
        <v>3</v>
      </c>
      <c r="K56" s="30"/>
      <c r="L56" s="30"/>
      <c r="M56" s="30"/>
      <c r="N56" s="30"/>
      <c r="O56" s="30"/>
      <c r="P56" s="30"/>
      <c r="Q56" s="30">
        <f t="shared" si="2"/>
        <v>12</v>
      </c>
      <c r="R56" s="30"/>
      <c r="S56" s="33"/>
      <c r="T56" s="30"/>
      <c r="U56" s="30"/>
      <c r="V56" s="30"/>
      <c r="W56" s="30"/>
    </row>
    <row r="57" spans="1:23" ht="18" customHeight="1" x14ac:dyDescent="0.2">
      <c r="A57" s="89"/>
      <c r="B57" s="30">
        <v>47</v>
      </c>
      <c r="C57" s="31">
        <f t="shared" si="1"/>
        <v>45942</v>
      </c>
      <c r="D57" s="30"/>
      <c r="E57" s="30"/>
      <c r="F57" s="30"/>
      <c r="G57" s="30"/>
      <c r="H57" s="27"/>
      <c r="I57" s="27">
        <v>1</v>
      </c>
      <c r="J57" s="30">
        <v>3</v>
      </c>
      <c r="K57" s="30"/>
      <c r="L57" s="30"/>
      <c r="M57" s="30" t="s">
        <v>757</v>
      </c>
      <c r="N57" s="30"/>
      <c r="O57" s="30"/>
      <c r="P57" s="30"/>
      <c r="Q57" s="30">
        <f t="shared" si="2"/>
        <v>12</v>
      </c>
      <c r="R57" s="30"/>
      <c r="S57" s="33"/>
      <c r="T57" s="30"/>
      <c r="U57" s="30"/>
      <c r="V57" s="30"/>
      <c r="W57" s="30"/>
    </row>
    <row r="58" spans="1:23" ht="18" customHeight="1" x14ac:dyDescent="0.2">
      <c r="A58" s="89"/>
      <c r="B58" s="30">
        <v>48</v>
      </c>
      <c r="C58" s="31">
        <f t="shared" si="1"/>
        <v>45943</v>
      </c>
      <c r="D58" s="30"/>
      <c r="E58" s="30"/>
      <c r="F58" s="30"/>
      <c r="G58" s="30"/>
      <c r="H58" s="27"/>
      <c r="I58" s="27">
        <v>1</v>
      </c>
      <c r="J58" s="30">
        <v>3</v>
      </c>
      <c r="K58" s="30"/>
      <c r="L58" s="30"/>
      <c r="M58" s="30"/>
      <c r="N58" s="30"/>
      <c r="O58" s="30"/>
      <c r="P58" s="30"/>
      <c r="Q58" s="30">
        <f t="shared" si="2"/>
        <v>12</v>
      </c>
      <c r="R58" s="30"/>
      <c r="S58" s="33"/>
      <c r="T58" s="30"/>
      <c r="U58" s="30"/>
      <c r="V58" s="30"/>
      <c r="W58" s="30"/>
    </row>
    <row r="59" spans="1:23" ht="18" customHeight="1" thickBot="1" x14ac:dyDescent="0.25">
      <c r="A59" s="90"/>
      <c r="B59" s="35">
        <v>49</v>
      </c>
      <c r="C59" s="36">
        <f t="shared" si="1"/>
        <v>45944</v>
      </c>
      <c r="D59" s="35"/>
      <c r="E59" s="35"/>
      <c r="F59" s="35"/>
      <c r="G59" s="35"/>
      <c r="H59" s="40"/>
      <c r="I59" s="40">
        <v>1</v>
      </c>
      <c r="J59" s="35">
        <v>3</v>
      </c>
      <c r="K59" s="35"/>
      <c r="L59" s="35"/>
      <c r="M59" s="35"/>
      <c r="N59" s="35"/>
      <c r="O59" s="35"/>
      <c r="P59" s="35"/>
      <c r="Q59" s="35">
        <f t="shared" si="2"/>
        <v>12</v>
      </c>
      <c r="R59" s="35"/>
      <c r="S59" s="37"/>
      <c r="T59" s="35"/>
      <c r="U59" s="35"/>
      <c r="V59" s="35"/>
      <c r="W59" s="35"/>
    </row>
    <row r="60" spans="1:23" ht="18" customHeight="1" x14ac:dyDescent="0.2">
      <c r="A60" s="89">
        <v>8</v>
      </c>
      <c r="B60" s="27">
        <v>50</v>
      </c>
      <c r="C60" s="28">
        <f t="shared" si="1"/>
        <v>45945</v>
      </c>
      <c r="D60" s="27"/>
      <c r="E60" s="27"/>
      <c r="F60" s="27"/>
      <c r="G60" s="27"/>
      <c r="H60" s="27"/>
      <c r="I60" s="27">
        <v>1</v>
      </c>
      <c r="J60" s="27">
        <v>3</v>
      </c>
      <c r="K60" s="27"/>
      <c r="L60" s="27"/>
      <c r="M60" s="27"/>
      <c r="N60" s="27"/>
      <c r="O60" s="27"/>
      <c r="P60" s="27"/>
      <c r="Q60" s="27">
        <f t="shared" si="2"/>
        <v>12</v>
      </c>
      <c r="R60" s="27"/>
      <c r="S60" s="29"/>
      <c r="T60" s="27"/>
      <c r="U60" s="27"/>
      <c r="V60" s="27"/>
      <c r="W60" s="27"/>
    </row>
    <row r="61" spans="1:23" ht="18" customHeight="1" x14ac:dyDescent="0.2">
      <c r="A61" s="89"/>
      <c r="B61" s="30">
        <v>51</v>
      </c>
      <c r="C61" s="31">
        <f t="shared" si="1"/>
        <v>45946</v>
      </c>
      <c r="D61" s="30"/>
      <c r="E61" s="30"/>
      <c r="F61" s="30"/>
      <c r="G61" s="30"/>
      <c r="H61" s="27"/>
      <c r="I61" s="27">
        <v>1</v>
      </c>
      <c r="J61" s="30">
        <v>3</v>
      </c>
      <c r="K61" s="30"/>
      <c r="L61" s="30"/>
      <c r="M61" s="30"/>
      <c r="N61" s="30"/>
      <c r="O61" s="30"/>
      <c r="P61" s="30"/>
      <c r="Q61" s="30">
        <f t="shared" si="2"/>
        <v>12</v>
      </c>
      <c r="R61" s="30"/>
      <c r="S61" s="33"/>
      <c r="T61" s="30"/>
      <c r="U61" s="30"/>
      <c r="V61" s="30"/>
      <c r="W61" s="30"/>
    </row>
    <row r="62" spans="1:23" ht="18" customHeight="1" x14ac:dyDescent="0.2">
      <c r="A62" s="89"/>
      <c r="B62" s="30">
        <v>52</v>
      </c>
      <c r="C62" s="31">
        <f t="shared" si="1"/>
        <v>45947</v>
      </c>
      <c r="D62" s="30"/>
      <c r="E62" s="30"/>
      <c r="F62" s="30"/>
      <c r="G62" s="30"/>
      <c r="H62" s="27"/>
      <c r="I62" s="27">
        <v>1</v>
      </c>
      <c r="J62" s="30">
        <v>3</v>
      </c>
      <c r="K62" s="30"/>
      <c r="L62" s="30"/>
      <c r="M62" s="30"/>
      <c r="N62" s="30"/>
      <c r="O62" s="30"/>
      <c r="P62" s="30"/>
      <c r="Q62" s="30">
        <f t="shared" si="2"/>
        <v>12</v>
      </c>
      <c r="R62" s="30"/>
      <c r="S62" s="33"/>
      <c r="T62" s="30"/>
      <c r="U62" s="30"/>
      <c r="V62" s="30"/>
      <c r="W62" s="30"/>
    </row>
    <row r="63" spans="1:23" ht="18" customHeight="1" x14ac:dyDescent="0.2">
      <c r="A63" s="89"/>
      <c r="B63" s="30">
        <v>53</v>
      </c>
      <c r="C63" s="31">
        <f t="shared" si="1"/>
        <v>45948</v>
      </c>
      <c r="D63" s="30"/>
      <c r="E63" s="30"/>
      <c r="F63" s="30"/>
      <c r="G63" s="30"/>
      <c r="H63" s="27"/>
      <c r="I63" s="27">
        <v>1</v>
      </c>
      <c r="J63" s="30">
        <v>3</v>
      </c>
      <c r="K63" s="30"/>
      <c r="L63" s="30"/>
      <c r="M63" s="30"/>
      <c r="N63" s="30"/>
      <c r="O63" s="30"/>
      <c r="P63" s="30"/>
      <c r="Q63" s="30">
        <f t="shared" si="2"/>
        <v>12</v>
      </c>
      <c r="R63" s="30"/>
      <c r="S63" s="33"/>
      <c r="T63" s="30"/>
      <c r="U63" s="30"/>
      <c r="V63" s="30"/>
      <c r="W63" s="30"/>
    </row>
    <row r="64" spans="1:23" ht="18" customHeight="1" x14ac:dyDescent="0.2">
      <c r="A64" s="89"/>
      <c r="B64" s="30">
        <v>54</v>
      </c>
      <c r="C64" s="31">
        <f t="shared" si="1"/>
        <v>45949</v>
      </c>
      <c r="D64" s="30"/>
      <c r="E64" s="30"/>
      <c r="F64" s="30"/>
      <c r="G64" s="30"/>
      <c r="H64" s="27"/>
      <c r="I64" s="27">
        <v>1</v>
      </c>
      <c r="J64" s="30">
        <v>3</v>
      </c>
      <c r="K64" s="30"/>
      <c r="L64" s="30"/>
      <c r="M64" s="30"/>
      <c r="N64" s="30"/>
      <c r="O64" s="30"/>
      <c r="P64" s="30"/>
      <c r="Q64" s="30">
        <f t="shared" si="2"/>
        <v>12</v>
      </c>
      <c r="R64" s="30"/>
      <c r="S64" s="33"/>
      <c r="T64" s="30"/>
      <c r="U64" s="30"/>
      <c r="V64" s="30"/>
      <c r="W64" s="30"/>
    </row>
    <row r="65" spans="1:23" ht="18" customHeight="1" x14ac:dyDescent="0.2">
      <c r="A65" s="89"/>
      <c r="B65" s="30">
        <v>55</v>
      </c>
      <c r="C65" s="31">
        <f t="shared" si="1"/>
        <v>45950</v>
      </c>
      <c r="D65" s="30"/>
      <c r="E65" s="30"/>
      <c r="F65" s="30"/>
      <c r="G65" s="30"/>
      <c r="H65" s="27"/>
      <c r="I65" s="27">
        <v>1</v>
      </c>
      <c r="J65" s="30">
        <v>3</v>
      </c>
      <c r="K65" s="30"/>
      <c r="L65" s="30"/>
      <c r="M65" s="30"/>
      <c r="N65" s="30"/>
      <c r="O65" s="30"/>
      <c r="P65" s="30"/>
      <c r="Q65" s="30">
        <f t="shared" si="2"/>
        <v>12</v>
      </c>
      <c r="R65" s="30"/>
      <c r="S65" s="33"/>
      <c r="T65" s="30"/>
      <c r="U65" s="30"/>
      <c r="V65" s="30"/>
      <c r="W65" s="30"/>
    </row>
    <row r="66" spans="1:23" ht="18" customHeight="1" thickBot="1" x14ac:dyDescent="0.25">
      <c r="A66" s="90"/>
      <c r="B66" s="35">
        <v>56</v>
      </c>
      <c r="C66" s="36">
        <f t="shared" si="1"/>
        <v>45951</v>
      </c>
      <c r="D66" s="35"/>
      <c r="E66" s="35"/>
      <c r="F66" s="35"/>
      <c r="G66" s="35"/>
      <c r="H66" s="40"/>
      <c r="I66" s="40">
        <v>1</v>
      </c>
      <c r="J66" s="35">
        <v>3</v>
      </c>
      <c r="K66" s="35"/>
      <c r="L66" s="35"/>
      <c r="M66" s="35"/>
      <c r="N66" s="35"/>
      <c r="O66" s="35"/>
      <c r="P66" s="35"/>
      <c r="Q66" s="35">
        <f t="shared" si="2"/>
        <v>12</v>
      </c>
      <c r="R66" s="35"/>
      <c r="S66" s="37"/>
      <c r="T66" s="35"/>
      <c r="U66" s="35"/>
      <c r="V66" s="35"/>
      <c r="W66" s="35"/>
    </row>
    <row r="67" spans="1:23" ht="18" customHeight="1" x14ac:dyDescent="0.2">
      <c r="A67" s="89">
        <v>9</v>
      </c>
      <c r="B67" s="27">
        <v>57</v>
      </c>
      <c r="C67" s="28">
        <f t="shared" si="1"/>
        <v>45952</v>
      </c>
      <c r="D67" s="27"/>
      <c r="E67" s="27"/>
      <c r="F67" s="27"/>
      <c r="G67" s="27"/>
      <c r="H67" s="27"/>
      <c r="I67" s="27">
        <v>1</v>
      </c>
      <c r="J67" s="27">
        <v>3</v>
      </c>
      <c r="K67" s="27"/>
      <c r="L67" s="27"/>
      <c r="M67" s="27"/>
      <c r="N67" s="27"/>
      <c r="O67" s="27"/>
      <c r="P67" s="27"/>
      <c r="Q67" s="27">
        <f t="shared" si="2"/>
        <v>12</v>
      </c>
      <c r="R67" s="27"/>
      <c r="S67" s="29"/>
      <c r="T67" s="27"/>
      <c r="U67" s="27"/>
      <c r="V67" s="27"/>
      <c r="W67" s="27"/>
    </row>
    <row r="68" spans="1:23" ht="18" customHeight="1" x14ac:dyDescent="0.2">
      <c r="A68" s="89"/>
      <c r="B68" s="30">
        <v>58</v>
      </c>
      <c r="C68" s="31">
        <f t="shared" si="1"/>
        <v>45953</v>
      </c>
      <c r="D68" s="30"/>
      <c r="E68" s="30"/>
      <c r="F68" s="30"/>
      <c r="G68" s="30"/>
      <c r="H68" s="27"/>
      <c r="I68" s="27">
        <v>1</v>
      </c>
      <c r="J68" s="30">
        <v>3</v>
      </c>
      <c r="K68" s="30"/>
      <c r="L68" s="30"/>
      <c r="M68" s="30"/>
      <c r="N68" s="30"/>
      <c r="O68" s="30"/>
      <c r="P68" s="30"/>
      <c r="Q68" s="30">
        <f t="shared" si="2"/>
        <v>12</v>
      </c>
      <c r="R68" s="30"/>
      <c r="S68" s="33"/>
      <c r="T68" s="30"/>
      <c r="U68" s="30"/>
      <c r="V68" s="30"/>
      <c r="W68" s="30"/>
    </row>
    <row r="69" spans="1:23" ht="18" customHeight="1" x14ac:dyDescent="0.2">
      <c r="A69" s="89"/>
      <c r="B69" s="30">
        <v>59</v>
      </c>
      <c r="C69" s="31">
        <f t="shared" si="1"/>
        <v>45954</v>
      </c>
      <c r="D69" s="30"/>
      <c r="E69" s="30"/>
      <c r="F69" s="30"/>
      <c r="G69" s="30"/>
      <c r="H69" s="27"/>
      <c r="I69" s="27">
        <v>1</v>
      </c>
      <c r="J69" s="30">
        <v>3</v>
      </c>
      <c r="K69" s="30"/>
      <c r="L69" s="30"/>
      <c r="M69" s="30"/>
      <c r="N69" s="30"/>
      <c r="O69" s="30"/>
      <c r="P69" s="30"/>
      <c r="Q69" s="30">
        <f t="shared" si="2"/>
        <v>12</v>
      </c>
      <c r="R69" s="30"/>
      <c r="S69" s="33"/>
      <c r="T69" s="30"/>
      <c r="U69" s="30"/>
      <c r="V69" s="30"/>
      <c r="W69" s="30"/>
    </row>
    <row r="70" spans="1:23" ht="18" customHeight="1" x14ac:dyDescent="0.2">
      <c r="A70" s="89"/>
      <c r="B70" s="30">
        <v>60</v>
      </c>
      <c r="C70" s="31">
        <f t="shared" si="1"/>
        <v>45955</v>
      </c>
      <c r="D70" s="30"/>
      <c r="E70" s="30"/>
      <c r="F70" s="30"/>
      <c r="G70" s="30"/>
      <c r="H70" s="27"/>
      <c r="I70" s="27">
        <v>1</v>
      </c>
      <c r="J70" s="30">
        <v>3</v>
      </c>
      <c r="K70" s="30"/>
      <c r="L70" s="30"/>
      <c r="M70" s="30"/>
      <c r="N70" s="30"/>
      <c r="O70" s="30"/>
      <c r="P70" s="30"/>
      <c r="Q70" s="30">
        <f t="shared" si="2"/>
        <v>12</v>
      </c>
      <c r="R70" s="30"/>
      <c r="S70" s="33"/>
      <c r="T70" s="30"/>
      <c r="U70" s="30"/>
      <c r="V70" s="30"/>
      <c r="W70" s="30"/>
    </row>
    <row r="71" spans="1:23" ht="18" customHeight="1" x14ac:dyDescent="0.2">
      <c r="A71" s="89"/>
      <c r="B71" s="30">
        <v>61</v>
      </c>
      <c r="C71" s="31">
        <f t="shared" si="1"/>
        <v>45956</v>
      </c>
      <c r="D71" s="30"/>
      <c r="E71" s="30"/>
      <c r="F71" s="30"/>
      <c r="G71" s="30"/>
      <c r="H71" s="27"/>
      <c r="I71" s="27">
        <v>1</v>
      </c>
      <c r="J71" s="30">
        <v>3</v>
      </c>
      <c r="K71" s="30"/>
      <c r="L71" s="30"/>
      <c r="M71" s="30"/>
      <c r="N71" s="30"/>
      <c r="O71" s="30"/>
      <c r="P71" s="30"/>
      <c r="Q71" s="30">
        <f t="shared" si="2"/>
        <v>12</v>
      </c>
      <c r="R71" s="30"/>
      <c r="S71" s="33"/>
      <c r="T71" s="30"/>
      <c r="U71" s="30"/>
      <c r="V71" s="30"/>
      <c r="W71" s="30"/>
    </row>
    <row r="72" spans="1:23" ht="18" customHeight="1" x14ac:dyDescent="0.2">
      <c r="A72" s="89"/>
      <c r="B72" s="30">
        <v>62</v>
      </c>
      <c r="C72" s="31">
        <f t="shared" si="1"/>
        <v>45957</v>
      </c>
      <c r="D72" s="30"/>
      <c r="E72" s="30"/>
      <c r="F72" s="30"/>
      <c r="G72" s="30"/>
      <c r="H72" s="27"/>
      <c r="I72" s="27">
        <v>1</v>
      </c>
      <c r="J72" s="30">
        <v>3</v>
      </c>
      <c r="K72" s="30"/>
      <c r="L72" s="30"/>
      <c r="M72" s="30"/>
      <c r="N72" s="30"/>
      <c r="O72" s="30"/>
      <c r="P72" s="30"/>
      <c r="Q72" s="30">
        <f t="shared" si="2"/>
        <v>12</v>
      </c>
      <c r="R72" s="30"/>
      <c r="S72" s="33"/>
      <c r="T72" s="30"/>
      <c r="U72" s="30"/>
      <c r="V72" s="30"/>
      <c r="W72" s="30"/>
    </row>
    <row r="73" spans="1:23" ht="18" customHeight="1" thickBot="1" x14ac:dyDescent="0.25">
      <c r="A73" s="90"/>
      <c r="B73" s="35">
        <v>63</v>
      </c>
      <c r="C73" s="36">
        <f t="shared" si="1"/>
        <v>45958</v>
      </c>
      <c r="D73" s="35"/>
      <c r="E73" s="35"/>
      <c r="F73" s="35"/>
      <c r="G73" s="35"/>
      <c r="H73" s="40"/>
      <c r="I73" s="40">
        <v>1</v>
      </c>
      <c r="J73" s="35">
        <v>3</v>
      </c>
      <c r="K73" s="35"/>
      <c r="L73" s="35"/>
      <c r="M73" s="35"/>
      <c r="N73" s="35"/>
      <c r="O73" s="35"/>
      <c r="P73" s="35"/>
      <c r="Q73" s="35">
        <f t="shared" si="2"/>
        <v>12</v>
      </c>
      <c r="R73" s="35"/>
      <c r="S73" s="37"/>
      <c r="T73" s="35"/>
      <c r="U73" s="35"/>
      <c r="V73" s="35"/>
      <c r="W73" s="35"/>
    </row>
    <row r="74" spans="1:23" ht="18" customHeight="1" x14ac:dyDescent="0.2">
      <c r="A74" s="88">
        <v>10</v>
      </c>
      <c r="B74" s="50">
        <v>64</v>
      </c>
      <c r="C74" s="51">
        <f t="shared" si="1"/>
        <v>45959</v>
      </c>
      <c r="D74" s="50"/>
      <c r="E74" s="50"/>
      <c r="F74" s="50"/>
      <c r="G74" s="50"/>
      <c r="H74" s="50"/>
      <c r="I74" s="50">
        <v>1</v>
      </c>
      <c r="J74" s="50">
        <v>3</v>
      </c>
      <c r="K74" s="50"/>
      <c r="L74" s="50"/>
      <c r="M74" s="50"/>
      <c r="N74" s="50"/>
      <c r="O74" s="50"/>
      <c r="P74" s="50"/>
      <c r="Q74" s="50">
        <f t="shared" si="2"/>
        <v>12</v>
      </c>
      <c r="R74" s="50"/>
      <c r="S74" s="52"/>
      <c r="T74" s="50"/>
      <c r="U74" s="50"/>
      <c r="V74" s="50"/>
      <c r="W74" s="50"/>
    </row>
    <row r="75" spans="1:23" ht="18" customHeight="1" x14ac:dyDescent="0.2">
      <c r="A75" s="89"/>
      <c r="B75" s="30">
        <v>65</v>
      </c>
      <c r="C75" s="31">
        <f t="shared" si="1"/>
        <v>45960</v>
      </c>
      <c r="D75" s="30"/>
      <c r="E75" s="30"/>
      <c r="F75" s="30"/>
      <c r="G75" s="30"/>
      <c r="H75" s="27"/>
      <c r="I75" s="27">
        <v>1</v>
      </c>
      <c r="J75" s="30">
        <v>3</v>
      </c>
      <c r="K75" s="30"/>
      <c r="L75" s="30"/>
      <c r="M75" s="30"/>
      <c r="N75" s="30"/>
      <c r="O75" s="30"/>
      <c r="P75" s="30"/>
      <c r="Q75" s="30">
        <f t="shared" ref="Q75:Q106" si="3">IF(C75&lt;datum_vegitations_ende,18,12)</f>
        <v>12</v>
      </c>
      <c r="R75" s="30"/>
      <c r="S75" s="33"/>
      <c r="T75" s="30"/>
      <c r="U75" s="30"/>
      <c r="V75" s="30"/>
      <c r="W75" s="30"/>
    </row>
    <row r="76" spans="1:23" ht="18" customHeight="1" x14ac:dyDescent="0.2">
      <c r="A76" s="89"/>
      <c r="B76" s="30">
        <v>66</v>
      </c>
      <c r="C76" s="31">
        <f t="shared" si="1"/>
        <v>45961</v>
      </c>
      <c r="D76" s="30"/>
      <c r="E76" s="30"/>
      <c r="F76" s="30"/>
      <c r="G76" s="30"/>
      <c r="H76" s="27"/>
      <c r="I76" s="27">
        <v>1</v>
      </c>
      <c r="J76" s="30">
        <v>3</v>
      </c>
      <c r="K76" s="30"/>
      <c r="L76" s="30"/>
      <c r="M76" s="30"/>
      <c r="N76" s="30"/>
      <c r="O76" s="30"/>
      <c r="P76" s="30"/>
      <c r="Q76" s="30">
        <f t="shared" si="3"/>
        <v>12</v>
      </c>
      <c r="R76" s="30"/>
      <c r="S76" s="33"/>
      <c r="T76" s="30"/>
      <c r="U76" s="30"/>
      <c r="V76" s="30"/>
      <c r="W76" s="30"/>
    </row>
    <row r="77" spans="1:23" ht="18" customHeight="1" x14ac:dyDescent="0.2">
      <c r="A77" s="89"/>
      <c r="B77" s="30">
        <v>67</v>
      </c>
      <c r="C77" s="31">
        <f t="shared" ref="C77:C140" si="4">($C$11-1)+B77</f>
        <v>45962</v>
      </c>
      <c r="D77" s="30"/>
      <c r="E77" s="30"/>
      <c r="F77" s="30"/>
      <c r="G77" s="30"/>
      <c r="H77" s="27"/>
      <c r="I77" s="27">
        <v>1</v>
      </c>
      <c r="J77" s="30">
        <v>3</v>
      </c>
      <c r="K77" s="30"/>
      <c r="L77" s="30"/>
      <c r="M77" s="30"/>
      <c r="N77" s="30"/>
      <c r="O77" s="30"/>
      <c r="P77" s="30"/>
      <c r="Q77" s="30">
        <f t="shared" si="3"/>
        <v>12</v>
      </c>
      <c r="R77" s="30"/>
      <c r="S77" s="33"/>
      <c r="T77" s="30"/>
      <c r="U77" s="30"/>
      <c r="V77" s="30"/>
      <c r="W77" s="30"/>
    </row>
    <row r="78" spans="1:23" ht="18" customHeight="1" x14ac:dyDescent="0.2">
      <c r="A78" s="89"/>
      <c r="B78" s="30">
        <v>68</v>
      </c>
      <c r="C78" s="31">
        <f t="shared" si="4"/>
        <v>45963</v>
      </c>
      <c r="D78" s="30"/>
      <c r="E78" s="30"/>
      <c r="F78" s="30"/>
      <c r="G78" s="30"/>
      <c r="H78" s="27"/>
      <c r="I78" s="27">
        <v>1</v>
      </c>
      <c r="J78" s="30">
        <v>3</v>
      </c>
      <c r="K78" s="30"/>
      <c r="L78" s="30"/>
      <c r="M78" s="30"/>
      <c r="N78" s="30"/>
      <c r="O78" s="30"/>
      <c r="P78" s="30"/>
      <c r="Q78" s="30">
        <f t="shared" si="3"/>
        <v>12</v>
      </c>
      <c r="R78" s="30"/>
      <c r="S78" s="33"/>
      <c r="T78" s="30"/>
      <c r="U78" s="30"/>
      <c r="V78" s="30"/>
      <c r="W78" s="30"/>
    </row>
    <row r="79" spans="1:23" ht="18" customHeight="1" x14ac:dyDescent="0.2">
      <c r="A79" s="89"/>
      <c r="B79" s="30">
        <v>69</v>
      </c>
      <c r="C79" s="31">
        <f t="shared" si="4"/>
        <v>45964</v>
      </c>
      <c r="D79" s="30"/>
      <c r="E79" s="30"/>
      <c r="F79" s="30"/>
      <c r="G79" s="30"/>
      <c r="H79" s="27"/>
      <c r="I79" s="27">
        <v>1</v>
      </c>
      <c r="J79" s="30">
        <v>3</v>
      </c>
      <c r="K79" s="30"/>
      <c r="L79" s="30"/>
      <c r="M79" s="30"/>
      <c r="N79" s="30"/>
      <c r="O79" s="30"/>
      <c r="P79" s="30"/>
      <c r="Q79" s="30">
        <f t="shared" si="3"/>
        <v>12</v>
      </c>
      <c r="R79" s="30"/>
      <c r="S79" s="33"/>
      <c r="T79" s="30"/>
      <c r="U79" s="30"/>
      <c r="V79" s="30"/>
      <c r="W79" s="30"/>
    </row>
    <row r="80" spans="1:23" ht="18" customHeight="1" thickBot="1" x14ac:dyDescent="0.25">
      <c r="A80" s="90"/>
      <c r="B80" s="35">
        <v>70</v>
      </c>
      <c r="C80" s="36">
        <f t="shared" si="4"/>
        <v>45965</v>
      </c>
      <c r="D80" s="35"/>
      <c r="E80" s="35"/>
      <c r="F80" s="35"/>
      <c r="G80" s="35"/>
      <c r="H80" s="40"/>
      <c r="I80" s="40">
        <v>1</v>
      </c>
      <c r="J80" s="35">
        <v>3</v>
      </c>
      <c r="K80" s="35"/>
      <c r="L80" s="35"/>
      <c r="M80" s="35"/>
      <c r="N80" s="35"/>
      <c r="O80" s="35"/>
      <c r="P80" s="35"/>
      <c r="Q80" s="35">
        <f t="shared" si="3"/>
        <v>12</v>
      </c>
      <c r="R80" s="35"/>
      <c r="S80" s="37"/>
      <c r="T80" s="35"/>
      <c r="U80" s="35"/>
      <c r="V80" s="35"/>
      <c r="W80" s="35"/>
    </row>
    <row r="81" spans="1:23" ht="18" customHeight="1" x14ac:dyDescent="0.2">
      <c r="A81" s="88">
        <v>11</v>
      </c>
      <c r="B81" s="50">
        <v>71</v>
      </c>
      <c r="C81" s="51">
        <f t="shared" si="4"/>
        <v>45966</v>
      </c>
      <c r="D81" s="50"/>
      <c r="E81" s="50"/>
      <c r="F81" s="50"/>
      <c r="G81" s="50"/>
      <c r="H81" s="50"/>
      <c r="I81" s="50">
        <v>1</v>
      </c>
      <c r="J81" s="50"/>
      <c r="K81" s="50"/>
      <c r="L81" s="50"/>
      <c r="M81" s="50"/>
      <c r="N81" s="50"/>
      <c r="O81" s="50"/>
      <c r="P81" s="50"/>
      <c r="Q81" s="50">
        <f t="shared" si="3"/>
        <v>12</v>
      </c>
      <c r="R81" s="50"/>
      <c r="S81" s="52"/>
      <c r="T81" s="50"/>
      <c r="U81" s="50"/>
      <c r="V81" s="50"/>
      <c r="W81" s="50"/>
    </row>
    <row r="82" spans="1:23" ht="18" customHeight="1" x14ac:dyDescent="0.2">
      <c r="A82" s="89"/>
      <c r="B82" s="27">
        <v>72</v>
      </c>
      <c r="C82" s="28">
        <f t="shared" si="4"/>
        <v>45967</v>
      </c>
      <c r="D82" s="27"/>
      <c r="E82" s="27"/>
      <c r="F82" s="27"/>
      <c r="G82" s="27"/>
      <c r="H82" s="27"/>
      <c r="I82" s="27">
        <v>1</v>
      </c>
      <c r="J82" s="27"/>
      <c r="K82" s="27"/>
      <c r="L82" s="27"/>
      <c r="M82" s="27"/>
      <c r="N82" s="27"/>
      <c r="O82" s="27"/>
      <c r="P82" s="27"/>
      <c r="Q82" s="27">
        <f t="shared" si="3"/>
        <v>12</v>
      </c>
      <c r="R82" s="27"/>
      <c r="S82" s="29"/>
      <c r="T82" s="27"/>
      <c r="U82" s="30"/>
      <c r="V82" s="30"/>
      <c r="W82" s="30"/>
    </row>
    <row r="83" spans="1:23" ht="18" customHeight="1" x14ac:dyDescent="0.2">
      <c r="A83" s="89"/>
      <c r="B83" s="27">
        <v>73</v>
      </c>
      <c r="C83" s="28">
        <f t="shared" si="4"/>
        <v>45968</v>
      </c>
      <c r="D83" s="27"/>
      <c r="E83" s="27"/>
      <c r="F83" s="27"/>
      <c r="G83" s="27"/>
      <c r="H83" s="27"/>
      <c r="I83" s="27">
        <v>1</v>
      </c>
      <c r="J83" s="27"/>
      <c r="K83" s="27"/>
      <c r="L83" s="27"/>
      <c r="M83" s="27"/>
      <c r="N83" s="27"/>
      <c r="O83" s="27"/>
      <c r="P83" s="27"/>
      <c r="Q83" s="27">
        <f t="shared" si="3"/>
        <v>12</v>
      </c>
      <c r="R83" s="27"/>
      <c r="S83" s="29"/>
      <c r="T83" s="27"/>
      <c r="U83" s="30"/>
      <c r="V83" s="30"/>
      <c r="W83" s="30"/>
    </row>
    <row r="84" spans="1:23" ht="18" customHeight="1" x14ac:dyDescent="0.2">
      <c r="A84" s="89"/>
      <c r="B84" s="27">
        <v>74</v>
      </c>
      <c r="C84" s="28">
        <f t="shared" si="4"/>
        <v>45969</v>
      </c>
      <c r="D84" s="27"/>
      <c r="E84" s="27"/>
      <c r="F84" s="27"/>
      <c r="G84" s="27"/>
      <c r="H84" s="27"/>
      <c r="I84" s="27">
        <v>1</v>
      </c>
      <c r="J84" s="27"/>
      <c r="K84" s="27"/>
      <c r="L84" s="27"/>
      <c r="M84" s="27"/>
      <c r="N84" s="27"/>
      <c r="O84" s="27"/>
      <c r="P84" s="27"/>
      <c r="Q84" s="27">
        <f t="shared" si="3"/>
        <v>12</v>
      </c>
      <c r="R84" s="27"/>
      <c r="S84" s="29"/>
      <c r="T84" s="27"/>
      <c r="U84" s="30"/>
      <c r="V84" s="30"/>
      <c r="W84" s="30"/>
    </row>
    <row r="85" spans="1:23" ht="18" customHeight="1" x14ac:dyDescent="0.2">
      <c r="A85" s="89"/>
      <c r="B85" s="27">
        <v>75</v>
      </c>
      <c r="C85" s="28">
        <f t="shared" si="4"/>
        <v>45970</v>
      </c>
      <c r="D85" s="27"/>
      <c r="E85" s="27"/>
      <c r="F85" s="27"/>
      <c r="G85" s="27"/>
      <c r="H85" s="27"/>
      <c r="I85" s="27">
        <v>1</v>
      </c>
      <c r="J85" s="27"/>
      <c r="K85" s="27"/>
      <c r="L85" s="27"/>
      <c r="M85" s="27"/>
      <c r="N85" s="27"/>
      <c r="O85" s="27"/>
      <c r="P85" s="27"/>
      <c r="Q85" s="27">
        <f t="shared" si="3"/>
        <v>12</v>
      </c>
      <c r="R85" s="27"/>
      <c r="S85" s="29"/>
      <c r="T85" s="27"/>
      <c r="U85" s="30"/>
      <c r="V85" s="30"/>
      <c r="W85" s="30"/>
    </row>
    <row r="86" spans="1:23" ht="18" customHeight="1" x14ac:dyDescent="0.2">
      <c r="A86" s="89"/>
      <c r="B86" s="27">
        <v>76</v>
      </c>
      <c r="C86" s="28">
        <f t="shared" si="4"/>
        <v>45971</v>
      </c>
      <c r="D86" s="27"/>
      <c r="E86" s="27"/>
      <c r="F86" s="27"/>
      <c r="G86" s="27"/>
      <c r="H86" s="27"/>
      <c r="I86" s="27">
        <v>1</v>
      </c>
      <c r="J86" s="27"/>
      <c r="K86" s="27"/>
      <c r="L86" s="27"/>
      <c r="M86" s="27"/>
      <c r="N86" s="27"/>
      <c r="O86" s="27"/>
      <c r="P86" s="27"/>
      <c r="Q86" s="27">
        <f t="shared" si="3"/>
        <v>12</v>
      </c>
      <c r="R86" s="27"/>
      <c r="S86" s="29"/>
      <c r="T86" s="27"/>
      <c r="U86" s="30"/>
      <c r="V86" s="30"/>
      <c r="W86" s="30"/>
    </row>
    <row r="87" spans="1:23" ht="18" customHeight="1" thickBot="1" x14ac:dyDescent="0.25">
      <c r="A87" s="90"/>
      <c r="B87" s="35">
        <v>77</v>
      </c>
      <c r="C87" s="36">
        <f t="shared" si="4"/>
        <v>45972</v>
      </c>
      <c r="D87" s="35"/>
      <c r="E87" s="35"/>
      <c r="F87" s="35"/>
      <c r="G87" s="35"/>
      <c r="H87" s="40"/>
      <c r="I87" s="40">
        <v>1</v>
      </c>
      <c r="J87" s="35"/>
      <c r="K87" s="35"/>
      <c r="L87" s="35"/>
      <c r="M87" s="35"/>
      <c r="N87" s="35"/>
      <c r="O87" s="35"/>
      <c r="P87" s="35"/>
      <c r="Q87" s="35">
        <f t="shared" si="3"/>
        <v>12</v>
      </c>
      <c r="R87" s="35"/>
      <c r="S87" s="37"/>
      <c r="T87" s="35"/>
      <c r="U87" s="35"/>
      <c r="V87" s="35"/>
      <c r="W87" s="35"/>
    </row>
    <row r="88" spans="1:23" ht="18" customHeight="1" x14ac:dyDescent="0.2">
      <c r="A88" s="88">
        <v>12</v>
      </c>
      <c r="B88" s="50">
        <v>78</v>
      </c>
      <c r="C88" s="51">
        <f t="shared" si="4"/>
        <v>45973</v>
      </c>
      <c r="D88" s="50"/>
      <c r="E88" s="50"/>
      <c r="F88" s="50"/>
      <c r="G88" s="50"/>
      <c r="H88" s="50"/>
      <c r="I88" s="50">
        <v>1</v>
      </c>
      <c r="J88" s="50"/>
      <c r="K88" s="50"/>
      <c r="L88" s="50"/>
      <c r="M88" s="50"/>
      <c r="N88" s="50"/>
      <c r="O88" s="50"/>
      <c r="P88" s="50"/>
      <c r="Q88" s="50">
        <f t="shared" si="3"/>
        <v>12</v>
      </c>
      <c r="R88" s="50"/>
      <c r="S88" s="52"/>
      <c r="T88" s="50"/>
      <c r="U88" s="50"/>
      <c r="V88" s="50"/>
      <c r="W88" s="50"/>
    </row>
    <row r="89" spans="1:23" ht="18" customHeight="1" x14ac:dyDescent="0.2">
      <c r="A89" s="89"/>
      <c r="B89" s="27">
        <v>79</v>
      </c>
      <c r="C89" s="28">
        <f t="shared" si="4"/>
        <v>45974</v>
      </c>
      <c r="D89" s="27"/>
      <c r="E89" s="27"/>
      <c r="F89" s="27"/>
      <c r="G89" s="27"/>
      <c r="H89" s="27"/>
      <c r="I89" s="27">
        <v>1</v>
      </c>
      <c r="J89" s="27"/>
      <c r="K89" s="27"/>
      <c r="L89" s="27"/>
      <c r="M89" s="27"/>
      <c r="N89" s="27"/>
      <c r="O89" s="27"/>
      <c r="P89" s="27"/>
      <c r="Q89" s="27">
        <f t="shared" si="3"/>
        <v>12</v>
      </c>
      <c r="R89" s="27"/>
      <c r="S89" s="29"/>
      <c r="T89" s="27"/>
      <c r="U89" s="30"/>
      <c r="V89" s="30"/>
      <c r="W89" s="30"/>
    </row>
    <row r="90" spans="1:23" ht="18" customHeight="1" x14ac:dyDescent="0.2">
      <c r="A90" s="89"/>
      <c r="B90" s="27">
        <v>80</v>
      </c>
      <c r="C90" s="28">
        <f t="shared" si="4"/>
        <v>45975</v>
      </c>
      <c r="D90" s="27"/>
      <c r="E90" s="27"/>
      <c r="F90" s="27"/>
      <c r="G90" s="27"/>
      <c r="H90" s="27"/>
      <c r="I90" s="27">
        <v>1</v>
      </c>
      <c r="J90" s="27"/>
      <c r="K90" s="27"/>
      <c r="L90" s="27"/>
      <c r="M90" s="27"/>
      <c r="N90" s="27"/>
      <c r="O90" s="27"/>
      <c r="P90" s="27"/>
      <c r="Q90" s="27">
        <f t="shared" si="3"/>
        <v>12</v>
      </c>
      <c r="R90" s="27"/>
      <c r="S90" s="29"/>
      <c r="T90" s="27"/>
      <c r="U90" s="30"/>
      <c r="V90" s="30"/>
      <c r="W90" s="30"/>
    </row>
    <row r="91" spans="1:23" ht="18" customHeight="1" x14ac:dyDescent="0.2">
      <c r="A91" s="89"/>
      <c r="B91" s="27">
        <v>81</v>
      </c>
      <c r="C91" s="28">
        <f t="shared" si="4"/>
        <v>45976</v>
      </c>
      <c r="D91" s="27"/>
      <c r="E91" s="27"/>
      <c r="F91" s="27"/>
      <c r="G91" s="27"/>
      <c r="H91" s="27"/>
      <c r="I91" s="27">
        <v>1</v>
      </c>
      <c r="J91" s="27"/>
      <c r="K91" s="27"/>
      <c r="L91" s="27"/>
      <c r="M91" s="27"/>
      <c r="N91" s="27"/>
      <c r="O91" s="27"/>
      <c r="P91" s="27"/>
      <c r="Q91" s="27">
        <f t="shared" si="3"/>
        <v>12</v>
      </c>
      <c r="R91" s="27"/>
      <c r="S91" s="29"/>
      <c r="T91" s="27"/>
      <c r="U91" s="30"/>
      <c r="V91" s="30"/>
      <c r="W91" s="30"/>
    </row>
    <row r="92" spans="1:23" ht="18" customHeight="1" x14ac:dyDescent="0.2">
      <c r="A92" s="89"/>
      <c r="B92" s="27">
        <v>82</v>
      </c>
      <c r="C92" s="28">
        <f t="shared" si="4"/>
        <v>45977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>
        <f t="shared" si="3"/>
        <v>12</v>
      </c>
      <c r="R92" s="27"/>
      <c r="S92" s="29"/>
      <c r="T92" s="27"/>
      <c r="U92" s="30"/>
      <c r="V92" s="30"/>
      <c r="W92" s="30"/>
    </row>
    <row r="93" spans="1:23" ht="18" customHeight="1" x14ac:dyDescent="0.2">
      <c r="A93" s="89"/>
      <c r="B93" s="27">
        <v>83</v>
      </c>
      <c r="C93" s="28">
        <f t="shared" si="4"/>
        <v>45978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>
        <f t="shared" si="3"/>
        <v>12</v>
      </c>
      <c r="R93" s="27"/>
      <c r="S93" s="29"/>
      <c r="T93" s="27"/>
      <c r="U93" s="30"/>
      <c r="V93" s="30"/>
      <c r="W93" s="30"/>
    </row>
    <row r="94" spans="1:23" ht="18" customHeight="1" thickBot="1" x14ac:dyDescent="0.25">
      <c r="A94" s="90"/>
      <c r="B94" s="35">
        <v>84</v>
      </c>
      <c r="C94" s="36">
        <f t="shared" si="4"/>
        <v>45979</v>
      </c>
      <c r="D94" s="35"/>
      <c r="E94" s="35"/>
      <c r="F94" s="35"/>
      <c r="G94" s="35"/>
      <c r="H94" s="40"/>
      <c r="I94" s="40"/>
      <c r="J94" s="35"/>
      <c r="K94" s="35"/>
      <c r="L94" s="35"/>
      <c r="M94" s="35"/>
      <c r="N94" s="35"/>
      <c r="O94" s="35"/>
      <c r="P94" s="35"/>
      <c r="Q94" s="35">
        <f t="shared" si="3"/>
        <v>12</v>
      </c>
      <c r="R94" s="35"/>
      <c r="S94" s="37"/>
      <c r="T94" s="35"/>
      <c r="U94" s="35"/>
      <c r="V94" s="35"/>
      <c r="W94" s="35"/>
    </row>
    <row r="95" spans="1:23" ht="18" customHeight="1" x14ac:dyDescent="0.2">
      <c r="A95" s="88">
        <v>13</v>
      </c>
      <c r="B95" s="50">
        <v>85</v>
      </c>
      <c r="C95" s="51">
        <f t="shared" si="4"/>
        <v>45980</v>
      </c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>
        <f t="shared" si="3"/>
        <v>12</v>
      </c>
      <c r="R95" s="50"/>
      <c r="S95" s="52"/>
      <c r="T95" s="50"/>
      <c r="U95" s="50"/>
      <c r="V95" s="50"/>
      <c r="W95" s="50"/>
    </row>
    <row r="96" spans="1:23" ht="18" customHeight="1" x14ac:dyDescent="0.2">
      <c r="A96" s="89"/>
      <c r="B96" s="27">
        <v>86</v>
      </c>
      <c r="C96" s="28">
        <f t="shared" si="4"/>
        <v>45981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>
        <f t="shared" si="3"/>
        <v>12</v>
      </c>
      <c r="R96" s="27"/>
      <c r="S96" s="29"/>
      <c r="T96" s="27"/>
      <c r="U96" s="30"/>
      <c r="V96" s="30"/>
      <c r="W96" s="30"/>
    </row>
    <row r="97" spans="1:23" ht="18" customHeight="1" x14ac:dyDescent="0.2">
      <c r="A97" s="89"/>
      <c r="B97" s="27">
        <v>87</v>
      </c>
      <c r="C97" s="28">
        <f t="shared" si="4"/>
        <v>45982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>
        <f t="shared" si="3"/>
        <v>12</v>
      </c>
      <c r="R97" s="27"/>
      <c r="S97" s="29"/>
      <c r="T97" s="27"/>
      <c r="U97" s="30"/>
      <c r="V97" s="30"/>
      <c r="W97" s="30"/>
    </row>
    <row r="98" spans="1:23" ht="18" customHeight="1" x14ac:dyDescent="0.2">
      <c r="A98" s="89"/>
      <c r="B98" s="27">
        <v>88</v>
      </c>
      <c r="C98" s="28">
        <f t="shared" si="4"/>
        <v>45983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>
        <f t="shared" si="3"/>
        <v>12</v>
      </c>
      <c r="R98" s="27"/>
      <c r="S98" s="29"/>
      <c r="T98" s="27"/>
      <c r="U98" s="30"/>
      <c r="V98" s="30"/>
      <c r="W98" s="30"/>
    </row>
    <row r="99" spans="1:23" ht="18" customHeight="1" x14ac:dyDescent="0.2">
      <c r="A99" s="89"/>
      <c r="B99" s="27">
        <v>89</v>
      </c>
      <c r="C99" s="28">
        <f t="shared" si="4"/>
        <v>45984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>
        <f t="shared" si="3"/>
        <v>12</v>
      </c>
      <c r="R99" s="27"/>
      <c r="S99" s="29"/>
      <c r="T99" s="27"/>
      <c r="U99" s="30"/>
      <c r="V99" s="30"/>
      <c r="W99" s="30"/>
    </row>
    <row r="100" spans="1:23" ht="18" customHeight="1" x14ac:dyDescent="0.2">
      <c r="A100" s="89"/>
      <c r="B100" s="27">
        <v>90</v>
      </c>
      <c r="C100" s="28">
        <f t="shared" si="4"/>
        <v>45985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>
        <f t="shared" si="3"/>
        <v>12</v>
      </c>
      <c r="R100" s="27"/>
      <c r="S100" s="29"/>
      <c r="T100" s="27"/>
      <c r="U100" s="30"/>
      <c r="V100" s="30"/>
      <c r="W100" s="30"/>
    </row>
    <row r="101" spans="1:23" ht="18" customHeight="1" thickBot="1" x14ac:dyDescent="0.25">
      <c r="A101" s="90"/>
      <c r="B101" s="35">
        <v>91</v>
      </c>
      <c r="C101" s="36">
        <f t="shared" si="4"/>
        <v>45986</v>
      </c>
      <c r="D101" s="35"/>
      <c r="E101" s="35"/>
      <c r="F101" s="35"/>
      <c r="G101" s="35"/>
      <c r="H101" s="40"/>
      <c r="I101" s="40"/>
      <c r="J101" s="35"/>
      <c r="K101" s="35"/>
      <c r="L101" s="35"/>
      <c r="M101" s="35"/>
      <c r="N101" s="35"/>
      <c r="O101" s="35"/>
      <c r="P101" s="35"/>
      <c r="Q101" s="35">
        <f t="shared" si="3"/>
        <v>12</v>
      </c>
      <c r="R101" s="35"/>
      <c r="S101" s="37"/>
      <c r="T101" s="35"/>
      <c r="U101" s="35"/>
      <c r="V101" s="35"/>
      <c r="W101" s="35"/>
    </row>
    <row r="102" spans="1:23" ht="18" customHeight="1" x14ac:dyDescent="0.2">
      <c r="A102" s="89">
        <v>14</v>
      </c>
      <c r="B102" s="27">
        <v>92</v>
      </c>
      <c r="C102" s="28">
        <f t="shared" si="4"/>
        <v>45987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>
        <f t="shared" si="3"/>
        <v>12</v>
      </c>
      <c r="R102" s="27"/>
      <c r="S102" s="29"/>
      <c r="T102" s="27"/>
      <c r="U102" s="27"/>
      <c r="V102" s="27"/>
      <c r="W102" s="27"/>
    </row>
    <row r="103" spans="1:23" ht="18" customHeight="1" x14ac:dyDescent="0.2">
      <c r="A103" s="89"/>
      <c r="B103" s="27">
        <v>93</v>
      </c>
      <c r="C103" s="28">
        <f t="shared" si="4"/>
        <v>45988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f t="shared" si="3"/>
        <v>12</v>
      </c>
      <c r="R103" s="27"/>
      <c r="S103" s="29"/>
      <c r="T103" s="27"/>
      <c r="U103" s="30"/>
      <c r="V103" s="30"/>
      <c r="W103" s="30"/>
    </row>
    <row r="104" spans="1:23" ht="18" customHeight="1" x14ac:dyDescent="0.2">
      <c r="A104" s="89"/>
      <c r="B104" s="27">
        <v>94</v>
      </c>
      <c r="C104" s="28">
        <f t="shared" si="4"/>
        <v>45989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>
        <f t="shared" si="3"/>
        <v>12</v>
      </c>
      <c r="R104" s="27"/>
      <c r="S104" s="29"/>
      <c r="T104" s="27"/>
      <c r="U104" s="30"/>
      <c r="V104" s="30"/>
      <c r="W104" s="30"/>
    </row>
    <row r="105" spans="1:23" ht="18" customHeight="1" x14ac:dyDescent="0.2">
      <c r="A105" s="89"/>
      <c r="B105" s="27">
        <v>95</v>
      </c>
      <c r="C105" s="28">
        <f t="shared" si="4"/>
        <v>45990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>
        <f t="shared" si="3"/>
        <v>12</v>
      </c>
      <c r="R105" s="27"/>
      <c r="S105" s="29"/>
      <c r="T105" s="27"/>
      <c r="U105" s="30"/>
      <c r="V105" s="30"/>
      <c r="W105" s="30"/>
    </row>
    <row r="106" spans="1:23" ht="18" customHeight="1" x14ac:dyDescent="0.2">
      <c r="A106" s="89"/>
      <c r="B106" s="27">
        <v>96</v>
      </c>
      <c r="C106" s="28">
        <f t="shared" si="4"/>
        <v>45991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>
        <f t="shared" si="3"/>
        <v>12</v>
      </c>
      <c r="R106" s="27"/>
      <c r="S106" s="29"/>
      <c r="T106" s="27"/>
      <c r="U106" s="30"/>
      <c r="V106" s="30"/>
      <c r="W106" s="30"/>
    </row>
    <row r="107" spans="1:23" ht="18" customHeight="1" x14ac:dyDescent="0.2">
      <c r="A107" s="89"/>
      <c r="B107" s="27">
        <v>97</v>
      </c>
      <c r="C107" s="28">
        <f t="shared" si="4"/>
        <v>45992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>
        <f t="shared" ref="Q107:Q138" si="5">IF(C107&lt;datum_vegitations_ende,18,12)</f>
        <v>12</v>
      </c>
      <c r="R107" s="27"/>
      <c r="S107" s="29"/>
      <c r="T107" s="27"/>
      <c r="U107" s="30"/>
      <c r="V107" s="30"/>
      <c r="W107" s="30"/>
    </row>
    <row r="108" spans="1:23" ht="18" customHeight="1" thickBot="1" x14ac:dyDescent="0.25">
      <c r="A108" s="90"/>
      <c r="B108" s="35">
        <v>98</v>
      </c>
      <c r="C108" s="36">
        <f t="shared" si="4"/>
        <v>45993</v>
      </c>
      <c r="D108" s="35"/>
      <c r="E108" s="35"/>
      <c r="F108" s="35"/>
      <c r="G108" s="35"/>
      <c r="H108" s="40"/>
      <c r="I108" s="40"/>
      <c r="J108" s="35"/>
      <c r="K108" s="35"/>
      <c r="L108" s="35"/>
      <c r="M108" s="35"/>
      <c r="N108" s="35"/>
      <c r="O108" s="35"/>
      <c r="P108" s="35"/>
      <c r="Q108" s="35">
        <f t="shared" si="5"/>
        <v>12</v>
      </c>
      <c r="R108" s="35"/>
      <c r="S108" s="37"/>
      <c r="T108" s="35"/>
      <c r="U108" s="35"/>
      <c r="V108" s="35"/>
      <c r="W108" s="35"/>
    </row>
    <row r="109" spans="1:23" ht="18" customHeight="1" x14ac:dyDescent="0.2">
      <c r="A109" s="88">
        <v>15</v>
      </c>
      <c r="B109" s="50">
        <v>99</v>
      </c>
      <c r="C109" s="51">
        <f t="shared" si="4"/>
        <v>45994</v>
      </c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>
        <f t="shared" si="5"/>
        <v>12</v>
      </c>
      <c r="R109" s="50"/>
      <c r="S109" s="52"/>
      <c r="T109" s="50"/>
      <c r="U109" s="50"/>
      <c r="V109" s="50"/>
      <c r="W109" s="50"/>
    </row>
    <row r="110" spans="1:23" ht="18" customHeight="1" x14ac:dyDescent="0.2">
      <c r="A110" s="89"/>
      <c r="B110" s="27">
        <v>100</v>
      </c>
      <c r="C110" s="28">
        <f t="shared" si="4"/>
        <v>45995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>
        <f t="shared" si="5"/>
        <v>12</v>
      </c>
      <c r="R110" s="27"/>
      <c r="S110" s="29"/>
      <c r="T110" s="27"/>
      <c r="U110" s="30"/>
      <c r="V110" s="30"/>
      <c r="W110" s="30"/>
    </row>
    <row r="111" spans="1:23" ht="18" customHeight="1" x14ac:dyDescent="0.2">
      <c r="A111" s="89"/>
      <c r="B111" s="27">
        <v>101</v>
      </c>
      <c r="C111" s="28">
        <f t="shared" si="4"/>
        <v>45996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>
        <f t="shared" si="5"/>
        <v>12</v>
      </c>
      <c r="R111" s="27"/>
      <c r="S111" s="29"/>
      <c r="T111" s="27"/>
      <c r="U111" s="30"/>
      <c r="V111" s="30"/>
      <c r="W111" s="30"/>
    </row>
    <row r="112" spans="1:23" ht="18" customHeight="1" x14ac:dyDescent="0.2">
      <c r="A112" s="89"/>
      <c r="B112" s="27">
        <v>102</v>
      </c>
      <c r="C112" s="28">
        <f t="shared" si="4"/>
        <v>45997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>
        <f t="shared" si="5"/>
        <v>12</v>
      </c>
      <c r="R112" s="27"/>
      <c r="S112" s="29"/>
      <c r="T112" s="27"/>
      <c r="U112" s="30"/>
      <c r="V112" s="30"/>
      <c r="W112" s="30"/>
    </row>
    <row r="113" spans="1:23" ht="18" customHeight="1" x14ac:dyDescent="0.2">
      <c r="A113" s="89"/>
      <c r="B113" s="27">
        <v>103</v>
      </c>
      <c r="C113" s="28">
        <f t="shared" si="4"/>
        <v>45998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>
        <f t="shared" si="5"/>
        <v>12</v>
      </c>
      <c r="R113" s="27"/>
      <c r="S113" s="29"/>
      <c r="T113" s="27"/>
      <c r="U113" s="30"/>
      <c r="V113" s="30"/>
      <c r="W113" s="30"/>
    </row>
    <row r="114" spans="1:23" ht="18" customHeight="1" x14ac:dyDescent="0.2">
      <c r="A114" s="89"/>
      <c r="B114" s="27">
        <v>104</v>
      </c>
      <c r="C114" s="28">
        <f t="shared" si="4"/>
        <v>45999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>
        <f t="shared" si="5"/>
        <v>12</v>
      </c>
      <c r="R114" s="27"/>
      <c r="S114" s="29"/>
      <c r="T114" s="27"/>
      <c r="U114" s="30"/>
      <c r="V114" s="30"/>
      <c r="W114" s="30"/>
    </row>
    <row r="115" spans="1:23" ht="18" customHeight="1" thickBot="1" x14ac:dyDescent="0.25">
      <c r="A115" s="90"/>
      <c r="B115" s="35">
        <v>105</v>
      </c>
      <c r="C115" s="36">
        <f t="shared" si="4"/>
        <v>46000</v>
      </c>
      <c r="D115" s="35"/>
      <c r="E115" s="35"/>
      <c r="F115" s="35"/>
      <c r="G115" s="35"/>
      <c r="H115" s="40"/>
      <c r="I115" s="40"/>
      <c r="J115" s="35"/>
      <c r="K115" s="35"/>
      <c r="L115" s="35"/>
      <c r="M115" s="35"/>
      <c r="N115" s="35"/>
      <c r="O115" s="35"/>
      <c r="P115" s="35"/>
      <c r="Q115" s="35">
        <f t="shared" si="5"/>
        <v>12</v>
      </c>
      <c r="R115" s="35"/>
      <c r="S115" s="37"/>
      <c r="T115" s="35"/>
      <c r="U115" s="35"/>
      <c r="V115" s="35"/>
      <c r="W115" s="35"/>
    </row>
    <row r="116" spans="1:23" ht="18" customHeight="1" x14ac:dyDescent="0.2">
      <c r="A116" s="88">
        <v>16</v>
      </c>
      <c r="B116" s="50">
        <v>106</v>
      </c>
      <c r="C116" s="51">
        <f t="shared" si="4"/>
        <v>46001</v>
      </c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>
        <f t="shared" si="5"/>
        <v>12</v>
      </c>
      <c r="R116" s="50"/>
      <c r="S116" s="52"/>
      <c r="T116" s="50"/>
      <c r="U116" s="50"/>
      <c r="V116" s="50"/>
      <c r="W116" s="50"/>
    </row>
    <row r="117" spans="1:23" ht="18" customHeight="1" x14ac:dyDescent="0.2">
      <c r="A117" s="89"/>
      <c r="B117" s="27">
        <v>107</v>
      </c>
      <c r="C117" s="28">
        <f t="shared" si="4"/>
        <v>46002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>
        <f t="shared" si="5"/>
        <v>12</v>
      </c>
      <c r="R117" s="27"/>
      <c r="S117" s="29"/>
      <c r="T117" s="27"/>
      <c r="U117" s="30"/>
      <c r="V117" s="30"/>
      <c r="W117" s="30"/>
    </row>
    <row r="118" spans="1:23" ht="18" customHeight="1" x14ac:dyDescent="0.2">
      <c r="A118" s="89"/>
      <c r="B118" s="27">
        <v>108</v>
      </c>
      <c r="C118" s="28">
        <f t="shared" si="4"/>
        <v>46003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>
        <f t="shared" si="5"/>
        <v>12</v>
      </c>
      <c r="R118" s="27"/>
      <c r="S118" s="29"/>
      <c r="T118" s="27"/>
      <c r="U118" s="30"/>
      <c r="V118" s="30"/>
      <c r="W118" s="30"/>
    </row>
    <row r="119" spans="1:23" ht="18" customHeight="1" x14ac:dyDescent="0.2">
      <c r="A119" s="89"/>
      <c r="B119" s="27">
        <v>109</v>
      </c>
      <c r="C119" s="28">
        <f t="shared" si="4"/>
        <v>46004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>
        <f t="shared" si="5"/>
        <v>12</v>
      </c>
      <c r="R119" s="27"/>
      <c r="S119" s="29"/>
      <c r="T119" s="27"/>
      <c r="U119" s="30"/>
      <c r="V119" s="30"/>
      <c r="W119" s="30"/>
    </row>
    <row r="120" spans="1:23" ht="18" customHeight="1" x14ac:dyDescent="0.2">
      <c r="A120" s="89"/>
      <c r="B120" s="27">
        <v>110</v>
      </c>
      <c r="C120" s="28">
        <f t="shared" si="4"/>
        <v>46005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>
        <f t="shared" si="5"/>
        <v>12</v>
      </c>
      <c r="R120" s="27"/>
      <c r="S120" s="29"/>
      <c r="T120" s="27"/>
      <c r="U120" s="30"/>
      <c r="V120" s="30"/>
      <c r="W120" s="30"/>
    </row>
    <row r="121" spans="1:23" ht="18" customHeight="1" x14ac:dyDescent="0.2">
      <c r="A121" s="89"/>
      <c r="B121" s="30">
        <v>111</v>
      </c>
      <c r="C121" s="31">
        <f t="shared" si="4"/>
        <v>46006</v>
      </c>
      <c r="D121" s="30"/>
      <c r="E121" s="30"/>
      <c r="F121" s="30"/>
      <c r="G121" s="30"/>
      <c r="H121" s="27"/>
      <c r="I121" s="27"/>
      <c r="J121" s="30"/>
      <c r="K121" s="30"/>
      <c r="L121" s="30"/>
      <c r="M121" s="30"/>
      <c r="N121" s="30"/>
      <c r="O121" s="30"/>
      <c r="P121" s="30"/>
      <c r="Q121" s="30">
        <f t="shared" si="5"/>
        <v>12</v>
      </c>
      <c r="R121" s="30"/>
      <c r="S121" s="33"/>
      <c r="T121" s="30"/>
      <c r="U121" s="30"/>
      <c r="V121" s="30"/>
      <c r="W121" s="30"/>
    </row>
    <row r="122" spans="1:23" ht="18" customHeight="1" thickBot="1" x14ac:dyDescent="0.25">
      <c r="A122" s="90"/>
      <c r="B122" s="40">
        <v>112</v>
      </c>
      <c r="C122" s="41">
        <f t="shared" si="4"/>
        <v>46007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>
        <f t="shared" si="5"/>
        <v>12</v>
      </c>
      <c r="R122" s="40"/>
      <c r="S122" s="42"/>
      <c r="T122" s="40"/>
      <c r="U122" s="35"/>
      <c r="V122" s="35"/>
      <c r="W122" s="35"/>
    </row>
    <row r="123" spans="1:23" ht="18" customHeight="1" x14ac:dyDescent="0.2">
      <c r="A123" s="88">
        <v>17</v>
      </c>
      <c r="B123" s="50">
        <v>113</v>
      </c>
      <c r="C123" s="51">
        <f t="shared" si="4"/>
        <v>46008</v>
      </c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>
        <f t="shared" si="5"/>
        <v>12</v>
      </c>
      <c r="R123" s="50"/>
      <c r="S123" s="52"/>
      <c r="T123" s="50"/>
      <c r="U123" s="50"/>
      <c r="V123" s="50"/>
      <c r="W123" s="50"/>
    </row>
    <row r="124" spans="1:23" ht="18" customHeight="1" x14ac:dyDescent="0.2">
      <c r="A124" s="89"/>
      <c r="B124" s="27">
        <v>114</v>
      </c>
      <c r="C124" s="28">
        <f t="shared" si="4"/>
        <v>46009</v>
      </c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>
        <f t="shared" si="5"/>
        <v>12</v>
      </c>
      <c r="R124" s="27"/>
      <c r="S124" s="29"/>
      <c r="T124" s="27"/>
      <c r="U124" s="30"/>
      <c r="V124" s="30"/>
      <c r="W124" s="30"/>
    </row>
    <row r="125" spans="1:23" ht="18" customHeight="1" x14ac:dyDescent="0.2">
      <c r="A125" s="89"/>
      <c r="B125" s="27">
        <v>115</v>
      </c>
      <c r="C125" s="28">
        <f t="shared" si="4"/>
        <v>46010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>
        <f t="shared" si="5"/>
        <v>12</v>
      </c>
      <c r="R125" s="27"/>
      <c r="S125" s="29"/>
      <c r="T125" s="27"/>
      <c r="U125" s="30"/>
      <c r="V125" s="30"/>
      <c r="W125" s="30"/>
    </row>
    <row r="126" spans="1:23" ht="18" customHeight="1" x14ac:dyDescent="0.2">
      <c r="A126" s="89"/>
      <c r="B126" s="27">
        <v>116</v>
      </c>
      <c r="C126" s="28">
        <f t="shared" si="4"/>
        <v>46011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>
        <f t="shared" si="5"/>
        <v>12</v>
      </c>
      <c r="R126" s="27"/>
      <c r="S126" s="29"/>
      <c r="T126" s="27"/>
      <c r="U126" s="30"/>
      <c r="V126" s="30"/>
      <c r="W126" s="30"/>
    </row>
    <row r="127" spans="1:23" ht="18" customHeight="1" x14ac:dyDescent="0.2">
      <c r="A127" s="89"/>
      <c r="B127" s="27">
        <v>117</v>
      </c>
      <c r="C127" s="28">
        <f t="shared" si="4"/>
        <v>46012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>
        <f t="shared" si="5"/>
        <v>12</v>
      </c>
      <c r="R127" s="27"/>
      <c r="S127" s="29"/>
      <c r="T127" s="27"/>
      <c r="U127" s="30"/>
      <c r="V127" s="30"/>
      <c r="W127" s="30"/>
    </row>
    <row r="128" spans="1:23" ht="18" customHeight="1" x14ac:dyDescent="0.2">
      <c r="A128" s="89"/>
      <c r="B128" s="30">
        <v>118</v>
      </c>
      <c r="C128" s="31">
        <f t="shared" si="4"/>
        <v>46013</v>
      </c>
      <c r="D128" s="30"/>
      <c r="E128" s="30"/>
      <c r="F128" s="30"/>
      <c r="G128" s="30"/>
      <c r="H128" s="27"/>
      <c r="I128" s="27"/>
      <c r="J128" s="30"/>
      <c r="K128" s="30"/>
      <c r="L128" s="30"/>
      <c r="M128" s="30"/>
      <c r="N128" s="30"/>
      <c r="O128" s="30"/>
      <c r="P128" s="30"/>
      <c r="Q128" s="30">
        <f t="shared" si="5"/>
        <v>12</v>
      </c>
      <c r="R128" s="30"/>
      <c r="S128" s="33"/>
      <c r="T128" s="30"/>
      <c r="U128" s="30"/>
      <c r="V128" s="30"/>
      <c r="W128" s="30"/>
    </row>
    <row r="129" spans="1:23" ht="18" customHeight="1" thickBot="1" x14ac:dyDescent="0.25">
      <c r="A129" s="90"/>
      <c r="B129" s="40">
        <v>119</v>
      </c>
      <c r="C129" s="41">
        <f t="shared" si="4"/>
        <v>46014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>
        <f t="shared" si="5"/>
        <v>12</v>
      </c>
      <c r="R129" s="40"/>
      <c r="S129" s="42"/>
      <c r="T129" s="40"/>
      <c r="U129" s="35"/>
      <c r="V129" s="35"/>
      <c r="W129" s="35"/>
    </row>
    <row r="130" spans="1:23" ht="18" customHeight="1" x14ac:dyDescent="0.2">
      <c r="A130" s="89">
        <v>18</v>
      </c>
      <c r="B130" s="27">
        <v>120</v>
      </c>
      <c r="C130" s="28">
        <f t="shared" si="4"/>
        <v>46015</v>
      </c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>
        <f t="shared" si="5"/>
        <v>12</v>
      </c>
      <c r="R130" s="27"/>
      <c r="S130" s="29"/>
      <c r="T130" s="27"/>
      <c r="U130" s="27"/>
      <c r="V130" s="27"/>
      <c r="W130" s="27"/>
    </row>
    <row r="131" spans="1:23" ht="18" customHeight="1" x14ac:dyDescent="0.2">
      <c r="A131" s="89"/>
      <c r="B131" s="27">
        <v>121</v>
      </c>
      <c r="C131" s="28">
        <f t="shared" si="4"/>
        <v>46016</v>
      </c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>
        <f t="shared" si="5"/>
        <v>12</v>
      </c>
      <c r="R131" s="27"/>
      <c r="S131" s="29"/>
      <c r="T131" s="27"/>
      <c r="U131" s="30"/>
      <c r="V131" s="30"/>
      <c r="W131" s="30"/>
    </row>
    <row r="132" spans="1:23" ht="18" customHeight="1" x14ac:dyDescent="0.2">
      <c r="A132" s="89"/>
      <c r="B132" s="27">
        <v>122</v>
      </c>
      <c r="C132" s="28">
        <f t="shared" si="4"/>
        <v>46017</v>
      </c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>
        <f t="shared" si="5"/>
        <v>12</v>
      </c>
      <c r="R132" s="27"/>
      <c r="S132" s="29"/>
      <c r="T132" s="27"/>
      <c r="U132" s="30"/>
      <c r="V132" s="30"/>
      <c r="W132" s="30"/>
    </row>
    <row r="133" spans="1:23" ht="18" customHeight="1" x14ac:dyDescent="0.2">
      <c r="A133" s="89"/>
      <c r="B133" s="27">
        <v>123</v>
      </c>
      <c r="C133" s="28">
        <f t="shared" si="4"/>
        <v>46018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>
        <f t="shared" si="5"/>
        <v>12</v>
      </c>
      <c r="R133" s="27"/>
      <c r="S133" s="29"/>
      <c r="T133" s="27"/>
      <c r="U133" s="30"/>
      <c r="V133" s="30"/>
      <c r="W133" s="30"/>
    </row>
    <row r="134" spans="1:23" ht="18" customHeight="1" x14ac:dyDescent="0.2">
      <c r="A134" s="89"/>
      <c r="B134" s="27">
        <v>124</v>
      </c>
      <c r="C134" s="28">
        <f t="shared" si="4"/>
        <v>46019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>
        <f t="shared" si="5"/>
        <v>12</v>
      </c>
      <c r="R134" s="27"/>
      <c r="S134" s="29"/>
      <c r="T134" s="27"/>
      <c r="U134" s="30"/>
      <c r="V134" s="30"/>
      <c r="W134" s="30"/>
    </row>
    <row r="135" spans="1:23" ht="18" customHeight="1" x14ac:dyDescent="0.2">
      <c r="A135" s="89"/>
      <c r="B135" s="30">
        <v>125</v>
      </c>
      <c r="C135" s="31">
        <f t="shared" si="4"/>
        <v>46020</v>
      </c>
      <c r="D135" s="30"/>
      <c r="E135" s="30"/>
      <c r="F135" s="30"/>
      <c r="G135" s="30"/>
      <c r="H135" s="27"/>
      <c r="I135" s="27"/>
      <c r="J135" s="30"/>
      <c r="K135" s="30"/>
      <c r="L135" s="30"/>
      <c r="M135" s="30"/>
      <c r="N135" s="30"/>
      <c r="O135" s="30"/>
      <c r="P135" s="30"/>
      <c r="Q135" s="30">
        <f t="shared" si="5"/>
        <v>12</v>
      </c>
      <c r="R135" s="30"/>
      <c r="S135" s="33"/>
      <c r="T135" s="30"/>
      <c r="U135" s="30"/>
      <c r="V135" s="30"/>
      <c r="W135" s="30"/>
    </row>
    <row r="136" spans="1:23" ht="18" customHeight="1" thickBot="1" x14ac:dyDescent="0.25">
      <c r="A136" s="90"/>
      <c r="B136" s="40">
        <v>126</v>
      </c>
      <c r="C136" s="41">
        <f t="shared" si="4"/>
        <v>46021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>
        <f t="shared" si="5"/>
        <v>12</v>
      </c>
      <c r="R136" s="40"/>
      <c r="S136" s="42"/>
      <c r="T136" s="40"/>
      <c r="U136" s="35"/>
      <c r="V136" s="35"/>
      <c r="W136" s="35"/>
    </row>
    <row r="137" spans="1:23" ht="18" customHeight="1" x14ac:dyDescent="0.2">
      <c r="A137" s="89">
        <v>19</v>
      </c>
      <c r="B137" s="27">
        <v>127</v>
      </c>
      <c r="C137" s="28">
        <f t="shared" si="4"/>
        <v>46022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>
        <f t="shared" si="5"/>
        <v>12</v>
      </c>
      <c r="R137" s="27"/>
      <c r="S137" s="29"/>
      <c r="T137" s="27"/>
      <c r="U137" s="27"/>
      <c r="V137" s="27"/>
      <c r="W137" s="27"/>
    </row>
    <row r="138" spans="1:23" ht="18" customHeight="1" x14ac:dyDescent="0.2">
      <c r="A138" s="89"/>
      <c r="B138" s="27">
        <v>128</v>
      </c>
      <c r="C138" s="28">
        <f t="shared" si="4"/>
        <v>46023</v>
      </c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>
        <f t="shared" si="5"/>
        <v>12</v>
      </c>
      <c r="R138" s="27"/>
      <c r="S138" s="29"/>
      <c r="T138" s="27"/>
      <c r="U138" s="30"/>
      <c r="V138" s="30"/>
      <c r="W138" s="30"/>
    </row>
    <row r="139" spans="1:23" ht="18" customHeight="1" x14ac:dyDescent="0.2">
      <c r="A139" s="89"/>
      <c r="B139" s="27">
        <v>129</v>
      </c>
      <c r="C139" s="28">
        <f t="shared" si="4"/>
        <v>46024</v>
      </c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>
        <f t="shared" ref="Q139:Q150" si="6">IF(C139&lt;datum_vegitations_ende,18,12)</f>
        <v>12</v>
      </c>
      <c r="R139" s="27"/>
      <c r="S139" s="29"/>
      <c r="T139" s="27"/>
      <c r="U139" s="30"/>
      <c r="V139" s="30"/>
      <c r="W139" s="30"/>
    </row>
    <row r="140" spans="1:23" ht="18" customHeight="1" x14ac:dyDescent="0.2">
      <c r="A140" s="89"/>
      <c r="B140" s="27">
        <v>130</v>
      </c>
      <c r="C140" s="28">
        <f t="shared" si="4"/>
        <v>46025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>
        <f t="shared" si="6"/>
        <v>12</v>
      </c>
      <c r="R140" s="27"/>
      <c r="S140" s="29"/>
      <c r="T140" s="27"/>
      <c r="U140" s="30"/>
      <c r="V140" s="30"/>
      <c r="W140" s="30"/>
    </row>
    <row r="141" spans="1:23" ht="18" customHeight="1" x14ac:dyDescent="0.2">
      <c r="A141" s="89"/>
      <c r="B141" s="27">
        <v>131</v>
      </c>
      <c r="C141" s="28">
        <f t="shared" ref="C141:C150" si="7">($C$11-1)+B141</f>
        <v>46026</v>
      </c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>
        <f t="shared" si="6"/>
        <v>12</v>
      </c>
      <c r="R141" s="27"/>
      <c r="S141" s="29"/>
      <c r="T141" s="27"/>
      <c r="U141" s="30"/>
      <c r="V141" s="30"/>
      <c r="W141" s="30"/>
    </row>
    <row r="142" spans="1:23" ht="18" customHeight="1" x14ac:dyDescent="0.2">
      <c r="A142" s="89"/>
      <c r="B142" s="30">
        <v>132</v>
      </c>
      <c r="C142" s="31">
        <f t="shared" si="7"/>
        <v>46027</v>
      </c>
      <c r="D142" s="30"/>
      <c r="E142" s="30"/>
      <c r="F142" s="30"/>
      <c r="G142" s="30"/>
      <c r="H142" s="27"/>
      <c r="I142" s="27"/>
      <c r="J142" s="30"/>
      <c r="K142" s="30"/>
      <c r="L142" s="30"/>
      <c r="M142" s="30"/>
      <c r="N142" s="30"/>
      <c r="O142" s="30"/>
      <c r="P142" s="30"/>
      <c r="Q142" s="30">
        <f t="shared" si="6"/>
        <v>12</v>
      </c>
      <c r="R142" s="30"/>
      <c r="S142" s="33"/>
      <c r="T142" s="30"/>
      <c r="U142" s="30"/>
      <c r="V142" s="30"/>
      <c r="W142" s="30"/>
    </row>
    <row r="143" spans="1:23" ht="18" customHeight="1" thickBot="1" x14ac:dyDescent="0.25">
      <c r="A143" s="90"/>
      <c r="B143" s="40">
        <v>133</v>
      </c>
      <c r="C143" s="41">
        <f t="shared" si="7"/>
        <v>46028</v>
      </c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>
        <f t="shared" si="6"/>
        <v>12</v>
      </c>
      <c r="R143" s="40"/>
      <c r="S143" s="42"/>
      <c r="T143" s="40"/>
      <c r="U143" s="35"/>
      <c r="V143" s="35"/>
      <c r="W143" s="35"/>
    </row>
    <row r="144" spans="1:23" ht="18" customHeight="1" x14ac:dyDescent="0.2">
      <c r="A144" s="89">
        <v>20</v>
      </c>
      <c r="B144" s="27">
        <v>134</v>
      </c>
      <c r="C144" s="28">
        <f t="shared" si="7"/>
        <v>46029</v>
      </c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>
        <f t="shared" si="6"/>
        <v>12</v>
      </c>
      <c r="R144" s="27"/>
      <c r="S144" s="29"/>
      <c r="T144" s="27"/>
      <c r="U144" s="27"/>
      <c r="V144" s="27"/>
      <c r="W144" s="27"/>
    </row>
    <row r="145" spans="1:23" ht="18" customHeight="1" x14ac:dyDescent="0.2">
      <c r="A145" s="89"/>
      <c r="B145" s="27">
        <v>135</v>
      </c>
      <c r="C145" s="28">
        <f t="shared" si="7"/>
        <v>46030</v>
      </c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>
        <f t="shared" si="6"/>
        <v>12</v>
      </c>
      <c r="R145" s="27"/>
      <c r="S145" s="29"/>
      <c r="T145" s="27"/>
      <c r="U145" s="30"/>
      <c r="V145" s="30"/>
      <c r="W145" s="30"/>
    </row>
    <row r="146" spans="1:23" ht="18" customHeight="1" x14ac:dyDescent="0.2">
      <c r="A146" s="89"/>
      <c r="B146" s="27">
        <v>136</v>
      </c>
      <c r="C146" s="28">
        <f t="shared" si="7"/>
        <v>46031</v>
      </c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>
        <f t="shared" si="6"/>
        <v>12</v>
      </c>
      <c r="R146" s="27"/>
      <c r="S146" s="29"/>
      <c r="T146" s="27"/>
      <c r="U146" s="30"/>
      <c r="V146" s="30"/>
      <c r="W146" s="30"/>
    </row>
    <row r="147" spans="1:23" ht="18" customHeight="1" x14ac:dyDescent="0.2">
      <c r="A147" s="89"/>
      <c r="B147" s="27">
        <v>137</v>
      </c>
      <c r="C147" s="28">
        <f t="shared" si="7"/>
        <v>46032</v>
      </c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>
        <f t="shared" si="6"/>
        <v>12</v>
      </c>
      <c r="R147" s="27"/>
      <c r="S147" s="29"/>
      <c r="T147" s="27"/>
      <c r="U147" s="30"/>
      <c r="V147" s="30"/>
      <c r="W147" s="30"/>
    </row>
    <row r="148" spans="1:23" ht="18" customHeight="1" x14ac:dyDescent="0.2">
      <c r="A148" s="89"/>
      <c r="B148" s="27">
        <v>138</v>
      </c>
      <c r="C148" s="28">
        <f t="shared" si="7"/>
        <v>46033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>
        <f t="shared" si="6"/>
        <v>12</v>
      </c>
      <c r="R148" s="27"/>
      <c r="S148" s="29"/>
      <c r="T148" s="27"/>
      <c r="U148" s="30"/>
      <c r="V148" s="30"/>
      <c r="W148" s="30"/>
    </row>
    <row r="149" spans="1:23" ht="18" customHeight="1" x14ac:dyDescent="0.2">
      <c r="A149" s="89"/>
      <c r="B149" s="27">
        <v>139</v>
      </c>
      <c r="C149" s="28">
        <f t="shared" si="7"/>
        <v>46034</v>
      </c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>
        <f t="shared" si="6"/>
        <v>12</v>
      </c>
      <c r="R149" s="27"/>
      <c r="S149" s="29"/>
      <c r="T149" s="27"/>
      <c r="U149" s="30"/>
      <c r="V149" s="30"/>
      <c r="W149" s="30"/>
    </row>
    <row r="150" spans="1:23" ht="18" customHeight="1" thickBot="1" x14ac:dyDescent="0.25">
      <c r="A150" s="90"/>
      <c r="B150" s="35">
        <v>140</v>
      </c>
      <c r="C150" s="36">
        <f t="shared" si="7"/>
        <v>46035</v>
      </c>
      <c r="D150" s="35"/>
      <c r="E150" s="35"/>
      <c r="F150" s="35"/>
      <c r="G150" s="35"/>
      <c r="H150" s="40"/>
      <c r="I150" s="40"/>
      <c r="J150" s="35"/>
      <c r="K150" s="35"/>
      <c r="L150" s="35"/>
      <c r="M150" s="35"/>
      <c r="N150" s="35"/>
      <c r="O150" s="35"/>
      <c r="P150" s="35"/>
      <c r="Q150" s="35">
        <f t="shared" si="6"/>
        <v>12</v>
      </c>
      <c r="R150" s="35"/>
      <c r="S150" s="37"/>
      <c r="T150" s="35"/>
      <c r="U150" s="35"/>
      <c r="V150" s="35"/>
      <c r="W150" s="35"/>
    </row>
  </sheetData>
  <mergeCells count="27">
    <mergeCell ref="A137:A143"/>
    <mergeCell ref="A144:A150"/>
    <mergeCell ref="A95:A101"/>
    <mergeCell ref="A102:A108"/>
    <mergeCell ref="A109:A115"/>
    <mergeCell ref="A116:A122"/>
    <mergeCell ref="A123:A129"/>
    <mergeCell ref="A130:A136"/>
    <mergeCell ref="A88:A94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:W8"/>
    <mergeCell ref="D2:H2"/>
    <mergeCell ref="D3:H3"/>
    <mergeCell ref="D4:H4"/>
    <mergeCell ref="D5:H5"/>
    <mergeCell ref="D6:H6"/>
    <mergeCell ref="D7:H7"/>
  </mergeCells>
  <conditionalFormatting sqref="B11:C150">
    <cfRule type="expression" dxfId="5" priority="6">
      <formula>C11=datum_vegitations_ende+bluete_verschieben_tage</formula>
    </cfRule>
  </conditionalFormatting>
  <conditionalFormatting sqref="R11:R150">
    <cfRule type="expression" dxfId="4" priority="5">
      <formula>C11&lt;datum_vegitations_ende+bluete_verschieben_tage</formula>
    </cfRule>
  </conditionalFormatting>
  <conditionalFormatting sqref="S11:S150">
    <cfRule type="expression" dxfId="3" priority="4">
      <formula>C11&gt;=datum_vegitations_ende+bluete_verschieben_tage</formula>
    </cfRule>
  </conditionalFormatting>
  <conditionalFormatting sqref="T11:T150">
    <cfRule type="expression" dxfId="2" priority="1">
      <formula>AND(IF(C11&gt;=datum_vegitations_ende+bluete_verschieben_tage+12,1),IF(C11&lt;=datum_vegitations_ende+bluete_verschieben_tage+17,1))</formula>
    </cfRule>
  </conditionalFormatting>
  <conditionalFormatting sqref="V11:V150">
    <cfRule type="expression" dxfId="1" priority="3">
      <formula>C11&gt;=datum_only_water_begin+bluete_verschieben_tage</formula>
    </cfRule>
  </conditionalFormatting>
  <conditionalFormatting sqref="W11:W150">
    <cfRule type="expression" dxfId="0" priority="2">
      <formula>C11&gt;=datum_bluete_ende+bluete_verschieben_tage</formula>
    </cfRule>
  </conditionalFormatting>
  <dataValidations disablePrompts="1" count="1">
    <dataValidation type="list" allowBlank="1" showInputMessage="1" showErrorMessage="1" sqref="D7" xr:uid="{8F73334B-541F-474B-9069-9E3814CFC06D}">
      <formula1>"JA,,Nein"</formula1>
    </dataValidation>
  </dataValidations>
  <pageMargins left="0.23622047244094491" right="0.23622047244094491" top="0.23622047244094491" bottom="0.43307086614173229" header="0" footer="0.19685039370078741"/>
  <pageSetup paperSize="9" orientation="landscape" horizontalDpi="0" verticalDpi="0" r:id="rId1"/>
  <headerFooter>
    <oddFooter>&amp;CSeite &amp;P von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16C3-F168-4889-8E69-D2799E16E30E}">
  <sheetPr>
    <tabColor theme="1" tint="4.9989318521683403E-2"/>
  </sheetPr>
  <dimension ref="A1:U207"/>
  <sheetViews>
    <sheetView topLeftCell="A82" workbookViewId="0">
      <selection activeCell="A107" sqref="A107:XFD107"/>
    </sheetView>
  </sheetViews>
  <sheetFormatPr baseColWidth="10" defaultRowHeight="14.25" x14ac:dyDescent="0.2"/>
  <cols>
    <col min="1" max="1" width="37.140625" bestFit="1" customWidth="1"/>
    <col min="2" max="2" width="17.5703125" bestFit="1" customWidth="1"/>
    <col min="3" max="3" width="20.85546875" bestFit="1" customWidth="1"/>
    <col min="4" max="4" width="17.140625" bestFit="1" customWidth="1"/>
    <col min="5" max="5" width="13" bestFit="1" customWidth="1"/>
    <col min="6" max="6" width="7" bestFit="1" customWidth="1"/>
    <col min="7" max="7" width="13.140625" bestFit="1" customWidth="1"/>
    <col min="8" max="8" width="12.140625" bestFit="1" customWidth="1"/>
    <col min="9" max="9" width="8.5703125" bestFit="1" customWidth="1"/>
    <col min="10" max="11" width="8.7109375" bestFit="1" customWidth="1"/>
    <col min="12" max="12" width="11.7109375" bestFit="1" customWidth="1"/>
    <col min="13" max="13" width="15.85546875" bestFit="1" customWidth="1"/>
    <col min="14" max="14" width="13.28515625" bestFit="1" customWidth="1"/>
    <col min="15" max="15" width="19.28515625" bestFit="1" customWidth="1"/>
    <col min="16" max="16" width="7" bestFit="1" customWidth="1"/>
    <col min="17" max="17" width="22.7109375" bestFit="1" customWidth="1"/>
    <col min="18" max="18" width="10.5703125" bestFit="1" customWidth="1"/>
    <col min="19" max="19" width="10.7109375" bestFit="1" customWidth="1"/>
    <col min="20" max="20" width="10.140625" bestFit="1" customWidth="1"/>
    <col min="21" max="21" width="14.85546875" bestFit="1" customWidth="1"/>
  </cols>
  <sheetData>
    <row r="1" spans="1:21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0</v>
      </c>
      <c r="H1" t="s">
        <v>36</v>
      </c>
      <c r="I1" t="s">
        <v>28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 x14ac:dyDescent="0.2">
      <c r="A2" t="s">
        <v>124</v>
      </c>
      <c r="B2" t="s">
        <v>61</v>
      </c>
      <c r="C2" t="s">
        <v>61</v>
      </c>
      <c r="D2">
        <v>63</v>
      </c>
      <c r="E2">
        <v>600</v>
      </c>
      <c r="F2">
        <v>18</v>
      </c>
      <c r="G2" t="s">
        <v>8</v>
      </c>
      <c r="I2">
        <v>140</v>
      </c>
      <c r="J2">
        <v>0.4</v>
      </c>
      <c r="K2">
        <v>0.6</v>
      </c>
      <c r="M2">
        <v>2.2000000000000002</v>
      </c>
      <c r="O2">
        <v>9.5238095238095237</v>
      </c>
      <c r="P2">
        <v>840</v>
      </c>
      <c r="T2">
        <v>1.4</v>
      </c>
      <c r="U2">
        <v>63.636363636363633</v>
      </c>
    </row>
    <row r="3" spans="1:21" x14ac:dyDescent="0.2">
      <c r="A3" t="s">
        <v>187</v>
      </c>
      <c r="B3" t="s">
        <v>74</v>
      </c>
      <c r="C3" t="s">
        <v>75</v>
      </c>
      <c r="D3">
        <v>63</v>
      </c>
      <c r="E3">
        <v>500</v>
      </c>
      <c r="F3">
        <v>25</v>
      </c>
      <c r="G3" t="s">
        <v>51</v>
      </c>
      <c r="I3">
        <v>110</v>
      </c>
      <c r="J3">
        <v>0</v>
      </c>
      <c r="K3">
        <v>1</v>
      </c>
      <c r="M3">
        <v>1.8</v>
      </c>
      <c r="O3">
        <v>7.9365079365079358</v>
      </c>
      <c r="P3">
        <v>700</v>
      </c>
      <c r="T3">
        <v>1.4</v>
      </c>
      <c r="U3">
        <v>61.111111111111107</v>
      </c>
    </row>
    <row r="4" spans="1:21" x14ac:dyDescent="0.2">
      <c r="A4" t="s">
        <v>263</v>
      </c>
      <c r="B4" t="s">
        <v>68</v>
      </c>
      <c r="C4" t="s">
        <v>131</v>
      </c>
      <c r="D4">
        <v>55</v>
      </c>
      <c r="F4">
        <v>21</v>
      </c>
      <c r="G4" t="s">
        <v>51</v>
      </c>
      <c r="J4">
        <v>0.5</v>
      </c>
      <c r="K4">
        <v>0.5</v>
      </c>
      <c r="M4">
        <v>2.2999999999999998</v>
      </c>
      <c r="O4">
        <v>0</v>
      </c>
      <c r="P4">
        <v>0</v>
      </c>
      <c r="T4">
        <v>1.5</v>
      </c>
      <c r="U4">
        <v>0</v>
      </c>
    </row>
    <row r="5" spans="1:21" x14ac:dyDescent="0.2">
      <c r="A5" t="s">
        <v>87</v>
      </c>
      <c r="B5" t="s">
        <v>61</v>
      </c>
      <c r="C5" t="s">
        <v>61</v>
      </c>
      <c r="D5">
        <v>77</v>
      </c>
      <c r="E5">
        <v>650</v>
      </c>
      <c r="F5">
        <v>22</v>
      </c>
      <c r="G5" t="s">
        <v>8</v>
      </c>
      <c r="I5">
        <v>140</v>
      </c>
      <c r="J5">
        <v>0.7</v>
      </c>
      <c r="K5">
        <v>0.30000000000000004</v>
      </c>
      <c r="M5">
        <v>2.5</v>
      </c>
      <c r="O5">
        <v>8.4415584415584419</v>
      </c>
      <c r="P5">
        <v>845</v>
      </c>
      <c r="T5">
        <v>1.3</v>
      </c>
      <c r="U5">
        <v>56</v>
      </c>
    </row>
    <row r="6" spans="1:21" x14ac:dyDescent="0.2">
      <c r="A6" t="s">
        <v>192</v>
      </c>
      <c r="B6" t="s">
        <v>89</v>
      </c>
      <c r="C6" t="s">
        <v>131</v>
      </c>
      <c r="D6">
        <v>45</v>
      </c>
      <c r="E6">
        <v>500</v>
      </c>
      <c r="F6">
        <v>30</v>
      </c>
      <c r="G6" t="s">
        <v>51</v>
      </c>
      <c r="J6">
        <v>0.5</v>
      </c>
      <c r="K6">
        <v>0.5</v>
      </c>
      <c r="M6">
        <v>2.2999999999999998</v>
      </c>
      <c r="O6">
        <v>11.111111111111112</v>
      </c>
      <c r="P6">
        <v>750</v>
      </c>
      <c r="T6">
        <v>1.5</v>
      </c>
      <c r="U6">
        <v>0</v>
      </c>
    </row>
    <row r="7" spans="1:21" x14ac:dyDescent="0.2">
      <c r="A7" t="s">
        <v>60</v>
      </c>
      <c r="B7" t="s">
        <v>61</v>
      </c>
      <c r="C7" t="s">
        <v>50</v>
      </c>
      <c r="D7">
        <v>70</v>
      </c>
      <c r="E7">
        <v>700</v>
      </c>
      <c r="F7">
        <v>13</v>
      </c>
      <c r="G7" t="s">
        <v>51</v>
      </c>
      <c r="I7">
        <v>170</v>
      </c>
      <c r="J7">
        <v>0.7</v>
      </c>
      <c r="K7">
        <v>0.30000000000000004</v>
      </c>
      <c r="M7">
        <v>2.5</v>
      </c>
      <c r="O7">
        <v>10</v>
      </c>
      <c r="P7">
        <v>980</v>
      </c>
      <c r="Q7" t="s">
        <v>62</v>
      </c>
      <c r="S7">
        <v>57</v>
      </c>
      <c r="T7">
        <v>1.4</v>
      </c>
      <c r="U7">
        <v>68</v>
      </c>
    </row>
    <row r="8" spans="1:21" x14ac:dyDescent="0.2">
      <c r="A8" t="s">
        <v>63</v>
      </c>
      <c r="B8" t="s">
        <v>61</v>
      </c>
      <c r="C8" t="s">
        <v>50</v>
      </c>
      <c r="D8">
        <v>84</v>
      </c>
      <c r="E8">
        <v>700</v>
      </c>
      <c r="F8">
        <v>19</v>
      </c>
      <c r="G8" t="s">
        <v>51</v>
      </c>
      <c r="J8">
        <v>0.8</v>
      </c>
      <c r="K8">
        <v>0.19999999999999996</v>
      </c>
      <c r="M8">
        <v>2.5999999999999996</v>
      </c>
      <c r="O8">
        <v>8.3333333333333339</v>
      </c>
      <c r="P8">
        <v>910</v>
      </c>
      <c r="Q8" t="s">
        <v>62</v>
      </c>
      <c r="T8">
        <v>1.3</v>
      </c>
      <c r="U8">
        <v>0</v>
      </c>
    </row>
    <row r="9" spans="1:21" x14ac:dyDescent="0.2">
      <c r="A9" t="s">
        <v>118</v>
      </c>
      <c r="B9" t="s">
        <v>89</v>
      </c>
      <c r="C9" t="s">
        <v>89</v>
      </c>
      <c r="D9">
        <v>70</v>
      </c>
      <c r="E9">
        <v>650</v>
      </c>
      <c r="G9" t="s">
        <v>51</v>
      </c>
      <c r="I9">
        <v>160</v>
      </c>
      <c r="K9">
        <v>1</v>
      </c>
      <c r="M9">
        <v>1.8</v>
      </c>
      <c r="O9">
        <v>9.2857142857142865</v>
      </c>
      <c r="P9">
        <v>910</v>
      </c>
      <c r="T9">
        <v>1.4</v>
      </c>
      <c r="U9">
        <v>88.888888888888886</v>
      </c>
    </row>
    <row r="10" spans="1:21" x14ac:dyDescent="0.2">
      <c r="A10" t="s">
        <v>125</v>
      </c>
      <c r="B10" t="s">
        <v>54</v>
      </c>
      <c r="C10" t="s">
        <v>54</v>
      </c>
      <c r="D10">
        <v>65</v>
      </c>
      <c r="E10">
        <v>600</v>
      </c>
      <c r="G10" t="s">
        <v>51</v>
      </c>
      <c r="I10">
        <v>110</v>
      </c>
      <c r="J10">
        <v>0</v>
      </c>
      <c r="K10">
        <v>1</v>
      </c>
      <c r="M10">
        <v>1.8</v>
      </c>
      <c r="O10">
        <v>9.2307692307692299</v>
      </c>
      <c r="P10">
        <v>840</v>
      </c>
      <c r="T10">
        <v>1.4</v>
      </c>
      <c r="U10">
        <v>61.111111111111107</v>
      </c>
    </row>
    <row r="11" spans="1:21" x14ac:dyDescent="0.2">
      <c r="A11" t="s">
        <v>55</v>
      </c>
      <c r="B11" t="s">
        <v>54</v>
      </c>
      <c r="C11" t="s">
        <v>54</v>
      </c>
      <c r="D11">
        <v>60</v>
      </c>
      <c r="E11">
        <v>700</v>
      </c>
      <c r="G11" t="s">
        <v>51</v>
      </c>
      <c r="I11">
        <v>110</v>
      </c>
      <c r="J11">
        <v>0</v>
      </c>
      <c r="K11">
        <v>1</v>
      </c>
      <c r="M11">
        <v>1.8</v>
      </c>
      <c r="O11">
        <v>11.666666666666666</v>
      </c>
      <c r="P11">
        <v>980</v>
      </c>
      <c r="T11">
        <v>1.4</v>
      </c>
      <c r="U11">
        <v>61.111111111111107</v>
      </c>
    </row>
    <row r="12" spans="1:21" x14ac:dyDescent="0.2">
      <c r="A12" t="s">
        <v>222</v>
      </c>
      <c r="B12" t="s">
        <v>89</v>
      </c>
      <c r="C12" t="s">
        <v>104</v>
      </c>
      <c r="D12">
        <v>65</v>
      </c>
      <c r="E12">
        <v>350</v>
      </c>
      <c r="G12" t="s">
        <v>51</v>
      </c>
      <c r="I12">
        <v>120</v>
      </c>
      <c r="J12">
        <v>0.2</v>
      </c>
      <c r="K12">
        <v>0.8</v>
      </c>
      <c r="M12">
        <v>2</v>
      </c>
      <c r="O12">
        <v>5.384615384615385</v>
      </c>
      <c r="P12">
        <v>490</v>
      </c>
      <c r="T12">
        <v>1.4</v>
      </c>
      <c r="U12">
        <v>60</v>
      </c>
    </row>
    <row r="13" spans="1:21" x14ac:dyDescent="0.2">
      <c r="A13" t="s">
        <v>264</v>
      </c>
      <c r="B13" t="s">
        <v>68</v>
      </c>
      <c r="C13" t="s">
        <v>131</v>
      </c>
      <c r="D13">
        <v>65</v>
      </c>
      <c r="F13">
        <v>25</v>
      </c>
      <c r="G13" t="s">
        <v>51</v>
      </c>
      <c r="K13">
        <v>1</v>
      </c>
      <c r="M13">
        <v>1.8</v>
      </c>
      <c r="O13">
        <v>0</v>
      </c>
      <c r="P13">
        <v>0</v>
      </c>
      <c r="T13">
        <v>1.4</v>
      </c>
      <c r="U13">
        <v>0</v>
      </c>
    </row>
    <row r="14" spans="1:21" x14ac:dyDescent="0.2">
      <c r="A14" t="s">
        <v>243</v>
      </c>
      <c r="B14" t="s">
        <v>68</v>
      </c>
      <c r="C14" t="s">
        <v>69</v>
      </c>
      <c r="D14">
        <v>60</v>
      </c>
      <c r="E14">
        <v>600</v>
      </c>
      <c r="F14">
        <v>28</v>
      </c>
      <c r="G14" t="s">
        <v>51</v>
      </c>
      <c r="I14">
        <v>110</v>
      </c>
      <c r="J14">
        <v>0.3</v>
      </c>
      <c r="K14">
        <v>0.7</v>
      </c>
      <c r="M14">
        <v>2.1</v>
      </c>
      <c r="O14">
        <v>10</v>
      </c>
      <c r="P14">
        <v>840</v>
      </c>
      <c r="T14">
        <v>1.4</v>
      </c>
      <c r="U14">
        <v>52.38095238095238</v>
      </c>
    </row>
    <row r="15" spans="1:21" x14ac:dyDescent="0.2">
      <c r="A15" t="s">
        <v>52</v>
      </c>
      <c r="B15" t="s">
        <v>50</v>
      </c>
      <c r="C15" t="s">
        <v>50</v>
      </c>
      <c r="D15">
        <v>63</v>
      </c>
      <c r="E15">
        <v>800</v>
      </c>
      <c r="F15">
        <v>30</v>
      </c>
      <c r="G15" t="s">
        <v>51</v>
      </c>
      <c r="J15">
        <v>0.3</v>
      </c>
      <c r="K15">
        <v>0.7</v>
      </c>
      <c r="M15">
        <v>2.1</v>
      </c>
      <c r="O15">
        <v>12.698412698412698</v>
      </c>
      <c r="P15">
        <v>1120</v>
      </c>
      <c r="T15">
        <v>1.4</v>
      </c>
      <c r="U15">
        <v>0</v>
      </c>
    </row>
    <row r="16" spans="1:21" x14ac:dyDescent="0.2">
      <c r="A16" t="s">
        <v>233</v>
      </c>
      <c r="B16" t="s">
        <v>74</v>
      </c>
      <c r="C16" t="s">
        <v>75</v>
      </c>
      <c r="D16">
        <v>55</v>
      </c>
      <c r="E16">
        <v>650</v>
      </c>
      <c r="F16">
        <v>29</v>
      </c>
      <c r="G16" t="s">
        <v>51</v>
      </c>
      <c r="I16">
        <v>150</v>
      </c>
      <c r="K16">
        <v>1</v>
      </c>
      <c r="M16">
        <v>1.8</v>
      </c>
      <c r="O16">
        <v>11.818181818181818</v>
      </c>
      <c r="P16">
        <v>975</v>
      </c>
      <c r="Q16" t="s">
        <v>62</v>
      </c>
      <c r="T16">
        <v>1.5</v>
      </c>
      <c r="U16">
        <v>83.333333333333329</v>
      </c>
    </row>
    <row r="17" spans="1:21" x14ac:dyDescent="0.2">
      <c r="A17" t="s">
        <v>88</v>
      </c>
      <c r="B17" t="s">
        <v>89</v>
      </c>
      <c r="C17" t="s">
        <v>90</v>
      </c>
      <c r="D17">
        <v>65</v>
      </c>
      <c r="E17">
        <v>650</v>
      </c>
      <c r="F17">
        <v>23</v>
      </c>
      <c r="G17" t="s">
        <v>51</v>
      </c>
      <c r="I17">
        <v>140</v>
      </c>
      <c r="K17">
        <v>1</v>
      </c>
      <c r="M17">
        <v>1.8</v>
      </c>
      <c r="O17">
        <v>10</v>
      </c>
      <c r="P17">
        <v>910</v>
      </c>
      <c r="T17">
        <v>1.4</v>
      </c>
      <c r="U17">
        <v>77.777777777777771</v>
      </c>
    </row>
    <row r="18" spans="1:21" x14ac:dyDescent="0.2">
      <c r="A18" t="s">
        <v>119</v>
      </c>
      <c r="B18" t="s">
        <v>89</v>
      </c>
      <c r="C18" t="s">
        <v>90</v>
      </c>
      <c r="D18">
        <v>65</v>
      </c>
      <c r="E18">
        <v>650</v>
      </c>
      <c r="G18" t="s">
        <v>51</v>
      </c>
      <c r="I18">
        <v>160</v>
      </c>
      <c r="J18">
        <v>0.65</v>
      </c>
      <c r="K18">
        <v>0.35</v>
      </c>
      <c r="M18">
        <v>2.4499999999999997</v>
      </c>
      <c r="O18">
        <v>10</v>
      </c>
      <c r="P18">
        <v>910</v>
      </c>
      <c r="T18">
        <v>1.4</v>
      </c>
      <c r="U18">
        <v>65.306122448979593</v>
      </c>
    </row>
    <row r="19" spans="1:21" x14ac:dyDescent="0.2">
      <c r="A19" t="s">
        <v>128</v>
      </c>
      <c r="B19" t="s">
        <v>89</v>
      </c>
      <c r="C19" t="s">
        <v>89</v>
      </c>
      <c r="D19">
        <v>65</v>
      </c>
      <c r="E19">
        <v>600</v>
      </c>
      <c r="F19">
        <v>25</v>
      </c>
      <c r="G19" t="s">
        <v>51</v>
      </c>
      <c r="I19">
        <v>100</v>
      </c>
      <c r="J19">
        <v>0.15</v>
      </c>
      <c r="K19">
        <v>0.85</v>
      </c>
      <c r="M19">
        <v>1.95</v>
      </c>
      <c r="O19">
        <v>9.2307692307692299</v>
      </c>
      <c r="P19">
        <v>840</v>
      </c>
      <c r="Q19" t="s">
        <v>129</v>
      </c>
      <c r="T19">
        <v>1.4</v>
      </c>
      <c r="U19">
        <v>51.282051282051285</v>
      </c>
    </row>
    <row r="20" spans="1:21" x14ac:dyDescent="0.2">
      <c r="A20" t="s">
        <v>170</v>
      </c>
      <c r="B20" t="s">
        <v>89</v>
      </c>
      <c r="C20" t="s">
        <v>131</v>
      </c>
      <c r="D20">
        <v>60</v>
      </c>
      <c r="E20">
        <v>500</v>
      </c>
      <c r="F20">
        <v>25</v>
      </c>
      <c r="G20" t="s">
        <v>51</v>
      </c>
      <c r="K20">
        <v>1</v>
      </c>
      <c r="M20">
        <v>1.8</v>
      </c>
      <c r="O20">
        <v>8.3333333333333339</v>
      </c>
      <c r="P20">
        <v>700</v>
      </c>
      <c r="T20">
        <v>1.4</v>
      </c>
      <c r="U20">
        <v>0</v>
      </c>
    </row>
    <row r="21" spans="1:21" x14ac:dyDescent="0.2">
      <c r="A21" t="s">
        <v>91</v>
      </c>
      <c r="B21" t="s">
        <v>68</v>
      </c>
      <c r="C21" t="s">
        <v>68</v>
      </c>
      <c r="D21">
        <v>63</v>
      </c>
      <c r="E21">
        <v>650</v>
      </c>
      <c r="F21">
        <v>23</v>
      </c>
      <c r="G21" t="s">
        <v>51</v>
      </c>
      <c r="I21">
        <v>150</v>
      </c>
      <c r="J21">
        <v>0.2</v>
      </c>
      <c r="K21">
        <v>0.8</v>
      </c>
      <c r="M21">
        <v>2</v>
      </c>
      <c r="O21">
        <v>10.317460317460318</v>
      </c>
      <c r="P21">
        <v>910</v>
      </c>
      <c r="T21">
        <v>1.4</v>
      </c>
      <c r="U21">
        <v>75</v>
      </c>
    </row>
    <row r="22" spans="1:21" x14ac:dyDescent="0.2">
      <c r="A22" t="s">
        <v>241</v>
      </c>
      <c r="B22" t="s">
        <v>68</v>
      </c>
      <c r="C22" t="s">
        <v>69</v>
      </c>
      <c r="D22">
        <v>65</v>
      </c>
      <c r="E22">
        <v>550</v>
      </c>
      <c r="F22">
        <v>25</v>
      </c>
      <c r="G22" t="s">
        <v>51</v>
      </c>
      <c r="I22">
        <v>160</v>
      </c>
      <c r="J22">
        <v>0.4</v>
      </c>
      <c r="K22">
        <v>0.6</v>
      </c>
      <c r="M22">
        <v>2.2000000000000002</v>
      </c>
      <c r="O22">
        <v>8.4615384615384617</v>
      </c>
      <c r="P22">
        <v>770</v>
      </c>
      <c r="T22">
        <v>1.4</v>
      </c>
      <c r="U22">
        <v>72.72727272727272</v>
      </c>
    </row>
    <row r="23" spans="1:21" x14ac:dyDescent="0.2">
      <c r="A23" t="s">
        <v>133</v>
      </c>
      <c r="B23" t="s">
        <v>134</v>
      </c>
      <c r="C23" t="s">
        <v>135</v>
      </c>
      <c r="D23">
        <v>49</v>
      </c>
      <c r="E23">
        <v>600</v>
      </c>
      <c r="F23">
        <v>25</v>
      </c>
      <c r="G23" t="s">
        <v>51</v>
      </c>
      <c r="K23">
        <v>1</v>
      </c>
      <c r="M23">
        <v>1.8</v>
      </c>
      <c r="N23" t="s">
        <v>763</v>
      </c>
      <c r="O23">
        <v>12.244897959183673</v>
      </c>
      <c r="P23">
        <v>900</v>
      </c>
      <c r="T23">
        <v>1.5</v>
      </c>
      <c r="U23">
        <v>0</v>
      </c>
    </row>
    <row r="24" spans="1:21" x14ac:dyDescent="0.2">
      <c r="A24" t="s">
        <v>171</v>
      </c>
      <c r="B24" t="s">
        <v>74</v>
      </c>
      <c r="C24" t="s">
        <v>75</v>
      </c>
      <c r="D24">
        <v>63</v>
      </c>
      <c r="E24">
        <v>550</v>
      </c>
      <c r="F24">
        <v>32</v>
      </c>
      <c r="G24" t="s">
        <v>51</v>
      </c>
      <c r="I24">
        <v>130</v>
      </c>
      <c r="J24">
        <v>0.2</v>
      </c>
      <c r="K24">
        <v>0.8</v>
      </c>
      <c r="M24">
        <v>2</v>
      </c>
      <c r="O24">
        <v>8.7301587301587293</v>
      </c>
      <c r="P24">
        <v>770</v>
      </c>
      <c r="T24">
        <v>1.4</v>
      </c>
      <c r="U24">
        <v>65</v>
      </c>
    </row>
    <row r="25" spans="1:21" x14ac:dyDescent="0.2">
      <c r="A25" t="s">
        <v>182</v>
      </c>
      <c r="B25" t="s">
        <v>89</v>
      </c>
      <c r="D25">
        <v>60</v>
      </c>
      <c r="E25">
        <v>525</v>
      </c>
      <c r="G25" t="s">
        <v>51</v>
      </c>
      <c r="I25">
        <v>180</v>
      </c>
      <c r="J25">
        <v>0.4</v>
      </c>
      <c r="K25">
        <v>0.6</v>
      </c>
      <c r="M25">
        <v>2.2000000000000002</v>
      </c>
      <c r="O25">
        <v>8.75</v>
      </c>
      <c r="P25">
        <v>735</v>
      </c>
      <c r="S25">
        <v>139</v>
      </c>
      <c r="T25">
        <v>1.4</v>
      </c>
      <c r="U25">
        <v>81.818181818181813</v>
      </c>
    </row>
    <row r="26" spans="1:21" x14ac:dyDescent="0.2">
      <c r="A26" t="s">
        <v>240</v>
      </c>
      <c r="B26" t="s">
        <v>68</v>
      </c>
      <c r="C26" t="s">
        <v>69</v>
      </c>
      <c r="D26">
        <v>65</v>
      </c>
      <c r="E26">
        <v>700</v>
      </c>
      <c r="F26">
        <v>30</v>
      </c>
      <c r="G26" t="s">
        <v>51</v>
      </c>
      <c r="I26">
        <v>100</v>
      </c>
      <c r="J26">
        <v>0.4</v>
      </c>
      <c r="K26">
        <v>0.6</v>
      </c>
      <c r="M26">
        <v>2.2000000000000002</v>
      </c>
      <c r="O26">
        <v>10.76923076923077</v>
      </c>
      <c r="P26">
        <v>980</v>
      </c>
      <c r="T26">
        <v>1.4</v>
      </c>
      <c r="U26">
        <v>45.454545454545453</v>
      </c>
    </row>
    <row r="27" spans="1:21" x14ac:dyDescent="0.2">
      <c r="A27" t="s">
        <v>242</v>
      </c>
      <c r="B27" t="s">
        <v>68</v>
      </c>
      <c r="C27" t="s">
        <v>69</v>
      </c>
      <c r="D27">
        <v>63</v>
      </c>
      <c r="E27">
        <v>550</v>
      </c>
      <c r="F27">
        <v>22</v>
      </c>
      <c r="G27" t="s">
        <v>51</v>
      </c>
      <c r="I27">
        <v>160</v>
      </c>
      <c r="J27">
        <v>0.4</v>
      </c>
      <c r="K27">
        <v>0.6</v>
      </c>
      <c r="M27">
        <v>2.2000000000000002</v>
      </c>
      <c r="O27">
        <v>8.7301587301587293</v>
      </c>
      <c r="P27">
        <v>770</v>
      </c>
      <c r="T27">
        <v>1.4</v>
      </c>
      <c r="U27">
        <v>72.72727272727272</v>
      </c>
    </row>
    <row r="28" spans="1:21" x14ac:dyDescent="0.2">
      <c r="A28" t="s">
        <v>176</v>
      </c>
      <c r="B28" t="s">
        <v>89</v>
      </c>
      <c r="C28" t="s">
        <v>131</v>
      </c>
      <c r="D28">
        <v>45</v>
      </c>
      <c r="E28">
        <v>1000</v>
      </c>
      <c r="F28">
        <v>28</v>
      </c>
      <c r="G28" t="s">
        <v>51</v>
      </c>
      <c r="I28">
        <v>80</v>
      </c>
      <c r="K28">
        <v>1</v>
      </c>
      <c r="M28">
        <v>1.8</v>
      </c>
      <c r="O28">
        <v>22.222222222222221</v>
      </c>
      <c r="P28">
        <v>1500</v>
      </c>
      <c r="T28">
        <v>1.5</v>
      </c>
      <c r="U28">
        <v>44.444444444444443</v>
      </c>
    </row>
    <row r="29" spans="1:21" x14ac:dyDescent="0.2">
      <c r="A29" t="s">
        <v>237</v>
      </c>
      <c r="B29" t="s">
        <v>68</v>
      </c>
      <c r="C29" t="s">
        <v>69</v>
      </c>
      <c r="D29">
        <v>65</v>
      </c>
      <c r="E29">
        <v>800</v>
      </c>
      <c r="F29">
        <v>28</v>
      </c>
      <c r="G29" t="s">
        <v>51</v>
      </c>
      <c r="I29">
        <v>140</v>
      </c>
      <c r="J29">
        <v>0.35</v>
      </c>
      <c r="K29">
        <v>0.65</v>
      </c>
      <c r="M29">
        <v>2.15</v>
      </c>
      <c r="O29">
        <v>12.307692307692308</v>
      </c>
      <c r="P29">
        <v>1120</v>
      </c>
      <c r="T29">
        <v>1.4</v>
      </c>
      <c r="U29">
        <v>65.116279069767444</v>
      </c>
    </row>
    <row r="30" spans="1:21" x14ac:dyDescent="0.2">
      <c r="A30" t="s">
        <v>67</v>
      </c>
      <c r="B30" t="s">
        <v>68</v>
      </c>
      <c r="C30" t="s">
        <v>69</v>
      </c>
      <c r="D30">
        <v>55</v>
      </c>
      <c r="E30">
        <v>800</v>
      </c>
      <c r="F30">
        <v>25</v>
      </c>
      <c r="G30" t="s">
        <v>51</v>
      </c>
      <c r="I30">
        <v>140</v>
      </c>
      <c r="J30">
        <v>0.35</v>
      </c>
      <c r="K30">
        <v>0.65</v>
      </c>
      <c r="M30">
        <v>2.15</v>
      </c>
      <c r="O30">
        <v>14.545454545454543</v>
      </c>
      <c r="P30">
        <v>1200</v>
      </c>
      <c r="T30">
        <v>1.5</v>
      </c>
      <c r="U30">
        <v>65.116279069767444</v>
      </c>
    </row>
    <row r="31" spans="1:21" x14ac:dyDescent="0.2">
      <c r="A31" t="s">
        <v>130</v>
      </c>
      <c r="B31" t="s">
        <v>89</v>
      </c>
      <c r="C31" t="s">
        <v>131</v>
      </c>
      <c r="D31">
        <v>70</v>
      </c>
      <c r="E31">
        <v>600</v>
      </c>
      <c r="F31">
        <v>23</v>
      </c>
      <c r="G31" t="s">
        <v>51</v>
      </c>
      <c r="I31">
        <v>180</v>
      </c>
      <c r="J31">
        <v>0.3</v>
      </c>
      <c r="K31">
        <v>0.7</v>
      </c>
      <c r="M31">
        <v>2.1</v>
      </c>
      <c r="O31">
        <v>8.5714285714285712</v>
      </c>
      <c r="P31">
        <v>840</v>
      </c>
      <c r="T31">
        <v>1.4</v>
      </c>
      <c r="U31">
        <v>85.714285714285708</v>
      </c>
    </row>
    <row r="32" spans="1:21" x14ac:dyDescent="0.2">
      <c r="A32" t="s">
        <v>265</v>
      </c>
      <c r="B32" t="s">
        <v>68</v>
      </c>
      <c r="C32" t="s">
        <v>131</v>
      </c>
      <c r="D32">
        <v>60</v>
      </c>
      <c r="G32" t="s">
        <v>51</v>
      </c>
      <c r="K32">
        <v>1</v>
      </c>
      <c r="M32">
        <v>1.8</v>
      </c>
      <c r="O32">
        <v>0</v>
      </c>
      <c r="P32">
        <v>0</v>
      </c>
      <c r="T32">
        <v>1.4</v>
      </c>
      <c r="U32">
        <v>0</v>
      </c>
    </row>
    <row r="33" spans="1:21" x14ac:dyDescent="0.2">
      <c r="A33" t="s">
        <v>92</v>
      </c>
      <c r="B33" t="s">
        <v>57</v>
      </c>
      <c r="C33" t="s">
        <v>93</v>
      </c>
      <c r="D33">
        <v>65</v>
      </c>
      <c r="E33">
        <v>650</v>
      </c>
      <c r="F33">
        <v>24</v>
      </c>
      <c r="G33" t="s">
        <v>51</v>
      </c>
      <c r="I33">
        <v>100</v>
      </c>
      <c r="J33">
        <v>0.5</v>
      </c>
      <c r="K33">
        <v>0.5</v>
      </c>
      <c r="M33">
        <v>2.2999999999999998</v>
      </c>
      <c r="O33">
        <v>10</v>
      </c>
      <c r="P33">
        <v>910</v>
      </c>
      <c r="T33">
        <v>1.4</v>
      </c>
      <c r="U33">
        <v>43.478260869565219</v>
      </c>
    </row>
    <row r="34" spans="1:21" x14ac:dyDescent="0.2">
      <c r="A34" t="s">
        <v>132</v>
      </c>
      <c r="B34" t="s">
        <v>89</v>
      </c>
      <c r="D34">
        <v>60</v>
      </c>
      <c r="E34">
        <v>600</v>
      </c>
      <c r="F34">
        <v>19</v>
      </c>
      <c r="G34" t="s">
        <v>51</v>
      </c>
      <c r="I34">
        <v>140</v>
      </c>
      <c r="J34">
        <v>0.3</v>
      </c>
      <c r="K34">
        <v>0.7</v>
      </c>
      <c r="M34">
        <v>2.1</v>
      </c>
      <c r="O34">
        <v>10</v>
      </c>
      <c r="P34">
        <v>840</v>
      </c>
      <c r="T34">
        <v>1.4</v>
      </c>
      <c r="U34">
        <v>66.666666666666657</v>
      </c>
    </row>
    <row r="35" spans="1:21" x14ac:dyDescent="0.2">
      <c r="A35" t="s">
        <v>163</v>
      </c>
      <c r="B35" t="s">
        <v>74</v>
      </c>
      <c r="C35" t="s">
        <v>75</v>
      </c>
      <c r="D35">
        <v>77</v>
      </c>
      <c r="E35">
        <v>600</v>
      </c>
      <c r="F35">
        <v>37</v>
      </c>
      <c r="G35" t="s">
        <v>51</v>
      </c>
      <c r="K35">
        <v>1</v>
      </c>
      <c r="M35">
        <v>1.8</v>
      </c>
      <c r="O35">
        <v>7.7922077922077921</v>
      </c>
      <c r="P35">
        <v>780</v>
      </c>
      <c r="T35">
        <v>1.3</v>
      </c>
      <c r="U35">
        <v>0</v>
      </c>
    </row>
    <row r="36" spans="1:21" x14ac:dyDescent="0.2">
      <c r="A36" t="s">
        <v>107</v>
      </c>
      <c r="B36" t="s">
        <v>57</v>
      </c>
      <c r="C36" t="s">
        <v>57</v>
      </c>
      <c r="D36">
        <v>55</v>
      </c>
      <c r="E36">
        <v>600</v>
      </c>
      <c r="F36">
        <v>24</v>
      </c>
      <c r="G36" t="s">
        <v>51</v>
      </c>
      <c r="I36">
        <v>100</v>
      </c>
      <c r="J36">
        <v>0.4</v>
      </c>
      <c r="K36">
        <v>0.6</v>
      </c>
      <c r="M36">
        <v>2.2000000000000002</v>
      </c>
      <c r="O36">
        <v>10.909090909090908</v>
      </c>
      <c r="P36">
        <v>900</v>
      </c>
      <c r="T36">
        <v>1.5</v>
      </c>
      <c r="U36">
        <v>45.454545454545453</v>
      </c>
    </row>
    <row r="37" spans="1:21" x14ac:dyDescent="0.2">
      <c r="A37" t="s">
        <v>244</v>
      </c>
      <c r="B37" t="s">
        <v>68</v>
      </c>
      <c r="C37" t="s">
        <v>69</v>
      </c>
      <c r="D37">
        <v>63</v>
      </c>
      <c r="E37">
        <v>650</v>
      </c>
      <c r="F37">
        <v>22</v>
      </c>
      <c r="G37" t="s">
        <v>51</v>
      </c>
      <c r="I37">
        <v>160</v>
      </c>
      <c r="J37">
        <v>0.4</v>
      </c>
      <c r="K37">
        <v>0.6</v>
      </c>
      <c r="M37">
        <v>2.2000000000000002</v>
      </c>
      <c r="O37">
        <v>10.317460317460318</v>
      </c>
      <c r="P37">
        <v>910</v>
      </c>
      <c r="T37">
        <v>1.4</v>
      </c>
      <c r="U37">
        <v>72.72727272727272</v>
      </c>
    </row>
    <row r="38" spans="1:21" x14ac:dyDescent="0.2">
      <c r="A38" t="s">
        <v>136</v>
      </c>
      <c r="B38" t="s">
        <v>89</v>
      </c>
      <c r="D38">
        <v>65</v>
      </c>
      <c r="E38">
        <v>600</v>
      </c>
      <c r="G38" t="s">
        <v>51</v>
      </c>
      <c r="I38">
        <v>160</v>
      </c>
      <c r="J38">
        <v>0.45</v>
      </c>
      <c r="K38">
        <v>0.55000000000000004</v>
      </c>
      <c r="M38">
        <v>2.25</v>
      </c>
      <c r="O38">
        <v>9.2307692307692299</v>
      </c>
      <c r="P38">
        <v>840</v>
      </c>
      <c r="T38">
        <v>1.4</v>
      </c>
      <c r="U38">
        <v>71.111111111111114</v>
      </c>
    </row>
    <row r="39" spans="1:21" x14ac:dyDescent="0.2">
      <c r="A39" t="s">
        <v>137</v>
      </c>
      <c r="B39" t="s">
        <v>89</v>
      </c>
      <c r="D39">
        <v>65</v>
      </c>
      <c r="E39">
        <v>600</v>
      </c>
      <c r="G39" t="s">
        <v>51</v>
      </c>
      <c r="I39">
        <v>140</v>
      </c>
      <c r="J39">
        <v>0.35</v>
      </c>
      <c r="K39">
        <v>0.65</v>
      </c>
      <c r="M39">
        <v>2.15</v>
      </c>
      <c r="O39">
        <v>9.2307692307692299</v>
      </c>
      <c r="P39">
        <v>840</v>
      </c>
      <c r="T39">
        <v>1.4</v>
      </c>
      <c r="U39">
        <v>65.116279069767444</v>
      </c>
    </row>
    <row r="40" spans="1:21" x14ac:dyDescent="0.2">
      <c r="A40" t="s">
        <v>84</v>
      </c>
      <c r="B40" t="s">
        <v>74</v>
      </c>
      <c r="C40" t="s">
        <v>75</v>
      </c>
      <c r="D40">
        <v>65</v>
      </c>
      <c r="E40">
        <v>700</v>
      </c>
      <c r="F40">
        <v>34</v>
      </c>
      <c r="G40" t="s">
        <v>51</v>
      </c>
      <c r="I40">
        <v>140</v>
      </c>
      <c r="J40">
        <v>0.6</v>
      </c>
      <c r="K40">
        <v>0.4</v>
      </c>
      <c r="M40">
        <v>2.4</v>
      </c>
      <c r="O40">
        <v>10.76923076923077</v>
      </c>
      <c r="P40">
        <v>980</v>
      </c>
      <c r="T40">
        <v>1.4</v>
      </c>
      <c r="U40">
        <v>58.333333333333336</v>
      </c>
    </row>
    <row r="41" spans="1:21" x14ac:dyDescent="0.2">
      <c r="A41" t="s">
        <v>173</v>
      </c>
      <c r="B41" t="s">
        <v>74</v>
      </c>
      <c r="C41" t="s">
        <v>75</v>
      </c>
      <c r="D41">
        <v>84</v>
      </c>
      <c r="E41">
        <v>550</v>
      </c>
      <c r="F41">
        <v>18</v>
      </c>
      <c r="G41" t="s">
        <v>51</v>
      </c>
      <c r="I41">
        <v>160</v>
      </c>
      <c r="J41">
        <v>1</v>
      </c>
      <c r="K41">
        <v>0</v>
      </c>
      <c r="M41">
        <v>2.8</v>
      </c>
      <c r="O41">
        <v>6.5476190476190474</v>
      </c>
      <c r="P41">
        <v>715</v>
      </c>
      <c r="T41">
        <v>1.3</v>
      </c>
      <c r="U41">
        <v>57.142857142857146</v>
      </c>
    </row>
    <row r="42" spans="1:21" x14ac:dyDescent="0.2">
      <c r="A42" t="s">
        <v>138</v>
      </c>
      <c r="B42" t="s">
        <v>139</v>
      </c>
      <c r="D42">
        <v>60</v>
      </c>
      <c r="E42">
        <v>600</v>
      </c>
      <c r="F42">
        <v>28</v>
      </c>
      <c r="G42" t="s">
        <v>51</v>
      </c>
      <c r="I42">
        <v>130</v>
      </c>
      <c r="J42">
        <v>0.5</v>
      </c>
      <c r="K42">
        <v>0.5</v>
      </c>
      <c r="M42">
        <v>2.2999999999999998</v>
      </c>
      <c r="O42">
        <v>10</v>
      </c>
      <c r="P42">
        <v>840</v>
      </c>
      <c r="T42">
        <v>1.4</v>
      </c>
      <c r="U42">
        <v>56.521739130434788</v>
      </c>
    </row>
    <row r="43" spans="1:21" x14ac:dyDescent="0.2">
      <c r="A43" t="s">
        <v>59</v>
      </c>
      <c r="B43" t="s">
        <v>54</v>
      </c>
      <c r="C43" t="s">
        <v>54</v>
      </c>
      <c r="D43">
        <v>60</v>
      </c>
      <c r="E43">
        <v>650</v>
      </c>
      <c r="G43" t="s">
        <v>51</v>
      </c>
      <c r="I43">
        <v>110</v>
      </c>
      <c r="J43">
        <v>0.3</v>
      </c>
      <c r="K43">
        <v>0.7</v>
      </c>
      <c r="M43">
        <v>2.1</v>
      </c>
      <c r="O43">
        <v>10.833333333333334</v>
      </c>
      <c r="P43">
        <v>910</v>
      </c>
      <c r="T43">
        <v>1.4</v>
      </c>
      <c r="U43">
        <v>52.38095238095238</v>
      </c>
    </row>
    <row r="44" spans="1:21" x14ac:dyDescent="0.2">
      <c r="A44" t="s">
        <v>141</v>
      </c>
      <c r="B44" t="s">
        <v>74</v>
      </c>
      <c r="C44" t="s">
        <v>75</v>
      </c>
      <c r="D44">
        <v>84</v>
      </c>
      <c r="E44">
        <v>600</v>
      </c>
      <c r="F44">
        <v>19</v>
      </c>
      <c r="G44" t="s">
        <v>51</v>
      </c>
      <c r="I44">
        <v>160</v>
      </c>
      <c r="J44">
        <v>1</v>
      </c>
      <c r="K44">
        <v>0</v>
      </c>
      <c r="M44">
        <v>2.8</v>
      </c>
      <c r="O44">
        <v>7.1428571428571432</v>
      </c>
      <c r="P44">
        <v>780</v>
      </c>
      <c r="Q44" t="s">
        <v>62</v>
      </c>
      <c r="T44">
        <v>1.3</v>
      </c>
      <c r="U44">
        <v>57.142857142857146</v>
      </c>
    </row>
    <row r="45" spans="1:21" x14ac:dyDescent="0.2">
      <c r="A45" t="s">
        <v>174</v>
      </c>
      <c r="B45" t="s">
        <v>89</v>
      </c>
      <c r="D45">
        <v>65</v>
      </c>
      <c r="E45">
        <v>550</v>
      </c>
      <c r="G45" t="s">
        <v>51</v>
      </c>
      <c r="I45">
        <v>140</v>
      </c>
      <c r="J45">
        <v>0.2</v>
      </c>
      <c r="K45">
        <v>0.8</v>
      </c>
      <c r="M45">
        <v>2</v>
      </c>
      <c r="O45">
        <v>8.4615384615384617</v>
      </c>
      <c r="P45">
        <v>770</v>
      </c>
      <c r="T45">
        <v>1.4</v>
      </c>
      <c r="U45">
        <v>70</v>
      </c>
    </row>
    <row r="46" spans="1:21" x14ac:dyDescent="0.2">
      <c r="A46" t="s">
        <v>216</v>
      </c>
      <c r="B46" t="s">
        <v>134</v>
      </c>
      <c r="C46" t="s">
        <v>135</v>
      </c>
      <c r="D46">
        <v>49</v>
      </c>
      <c r="E46">
        <v>600</v>
      </c>
      <c r="F46">
        <v>20</v>
      </c>
      <c r="G46" t="s">
        <v>51</v>
      </c>
      <c r="J46">
        <v>0.1</v>
      </c>
      <c r="K46">
        <v>0.9</v>
      </c>
      <c r="M46">
        <v>1.9000000000000001</v>
      </c>
      <c r="O46">
        <v>12.244897959183673</v>
      </c>
      <c r="P46">
        <v>900</v>
      </c>
      <c r="T46">
        <v>1.5</v>
      </c>
      <c r="U46">
        <v>0</v>
      </c>
    </row>
    <row r="47" spans="1:21" x14ac:dyDescent="0.2">
      <c r="A47" t="s">
        <v>247</v>
      </c>
      <c r="B47" t="s">
        <v>68</v>
      </c>
      <c r="C47" t="s">
        <v>127</v>
      </c>
      <c r="D47">
        <v>56</v>
      </c>
      <c r="E47">
        <v>700</v>
      </c>
      <c r="F47">
        <v>20</v>
      </c>
      <c r="G47" t="s">
        <v>51</v>
      </c>
      <c r="I47">
        <v>110</v>
      </c>
      <c r="J47">
        <v>0.7</v>
      </c>
      <c r="K47">
        <v>0.30000000000000004</v>
      </c>
      <c r="M47">
        <v>2.5</v>
      </c>
      <c r="O47">
        <v>12.5</v>
      </c>
      <c r="P47">
        <v>980</v>
      </c>
      <c r="T47">
        <v>1.4</v>
      </c>
      <c r="U47">
        <v>44</v>
      </c>
    </row>
    <row r="48" spans="1:21" x14ac:dyDescent="0.2">
      <c r="A48" t="s">
        <v>142</v>
      </c>
      <c r="B48" t="s">
        <v>139</v>
      </c>
      <c r="D48">
        <v>65</v>
      </c>
      <c r="E48">
        <v>600</v>
      </c>
      <c r="F48">
        <v>18</v>
      </c>
      <c r="G48" t="s">
        <v>51</v>
      </c>
      <c r="I48">
        <v>140</v>
      </c>
      <c r="J48">
        <v>0.4</v>
      </c>
      <c r="K48">
        <v>0.6</v>
      </c>
      <c r="M48">
        <v>2.2000000000000002</v>
      </c>
      <c r="O48">
        <v>9.2307692307692299</v>
      </c>
      <c r="P48">
        <v>840</v>
      </c>
      <c r="T48">
        <v>1.4</v>
      </c>
      <c r="U48">
        <v>63.636363636363633</v>
      </c>
    </row>
    <row r="49" spans="1:21" x14ac:dyDescent="0.2">
      <c r="A49" t="s">
        <v>172</v>
      </c>
      <c r="B49" t="s">
        <v>61</v>
      </c>
      <c r="C49" t="s">
        <v>61</v>
      </c>
      <c r="D49">
        <v>70</v>
      </c>
      <c r="E49">
        <v>550</v>
      </c>
      <c r="F49">
        <v>20</v>
      </c>
      <c r="G49" t="s">
        <v>51</v>
      </c>
      <c r="I49">
        <v>100</v>
      </c>
      <c r="J49">
        <v>0.2</v>
      </c>
      <c r="K49">
        <v>0.8</v>
      </c>
      <c r="M49">
        <v>2</v>
      </c>
      <c r="O49">
        <v>7.8571428571428577</v>
      </c>
      <c r="P49">
        <v>770</v>
      </c>
      <c r="T49">
        <v>1.4</v>
      </c>
      <c r="U49">
        <v>50</v>
      </c>
    </row>
    <row r="50" spans="1:21" x14ac:dyDescent="0.2">
      <c r="A50" t="s">
        <v>112</v>
      </c>
      <c r="B50" t="s">
        <v>68</v>
      </c>
      <c r="C50" t="s">
        <v>113</v>
      </c>
      <c r="D50">
        <v>70</v>
      </c>
      <c r="E50">
        <v>650</v>
      </c>
      <c r="F50">
        <v>22</v>
      </c>
      <c r="G50" t="s">
        <v>51</v>
      </c>
      <c r="I50">
        <v>140</v>
      </c>
      <c r="J50">
        <v>0</v>
      </c>
      <c r="K50">
        <v>1</v>
      </c>
      <c r="M50">
        <v>1.8</v>
      </c>
      <c r="O50">
        <v>9.2857142857142865</v>
      </c>
      <c r="P50">
        <v>910</v>
      </c>
      <c r="T50">
        <v>1.4</v>
      </c>
      <c r="U50">
        <v>77.777777777777771</v>
      </c>
    </row>
    <row r="51" spans="1:21" x14ac:dyDescent="0.2">
      <c r="A51" t="s">
        <v>143</v>
      </c>
      <c r="B51" t="s">
        <v>68</v>
      </c>
      <c r="C51" t="s">
        <v>113</v>
      </c>
      <c r="D51">
        <v>45</v>
      </c>
      <c r="E51">
        <v>650</v>
      </c>
      <c r="F51">
        <v>22</v>
      </c>
      <c r="G51" t="s">
        <v>51</v>
      </c>
      <c r="I51">
        <v>90</v>
      </c>
      <c r="K51">
        <v>1</v>
      </c>
      <c r="M51">
        <v>1.8</v>
      </c>
      <c r="O51">
        <v>14.444444444444445</v>
      </c>
      <c r="P51">
        <v>975</v>
      </c>
      <c r="T51">
        <v>1.5</v>
      </c>
      <c r="U51">
        <v>50</v>
      </c>
    </row>
    <row r="52" spans="1:21" x14ac:dyDescent="0.2">
      <c r="A52" t="s">
        <v>217</v>
      </c>
      <c r="B52" t="s">
        <v>134</v>
      </c>
      <c r="C52" t="s">
        <v>135</v>
      </c>
      <c r="D52">
        <v>49</v>
      </c>
      <c r="E52">
        <v>600</v>
      </c>
      <c r="F52">
        <v>21</v>
      </c>
      <c r="G52" t="s">
        <v>51</v>
      </c>
      <c r="J52">
        <v>0.4</v>
      </c>
      <c r="K52">
        <v>0.6</v>
      </c>
      <c r="M52">
        <v>2.2000000000000002</v>
      </c>
      <c r="O52">
        <v>12.244897959183673</v>
      </c>
      <c r="P52">
        <v>900</v>
      </c>
      <c r="T52">
        <v>1.5</v>
      </c>
      <c r="U52">
        <v>0</v>
      </c>
    </row>
    <row r="53" spans="1:21" x14ac:dyDescent="0.2">
      <c r="A53" t="s">
        <v>218</v>
      </c>
      <c r="B53" t="s">
        <v>134</v>
      </c>
      <c r="C53" t="s">
        <v>135</v>
      </c>
      <c r="D53">
        <v>60</v>
      </c>
      <c r="E53">
        <v>600</v>
      </c>
      <c r="F53">
        <v>20</v>
      </c>
      <c r="G53" t="s">
        <v>51</v>
      </c>
      <c r="H53" t="s">
        <v>51</v>
      </c>
      <c r="I53">
        <v>130</v>
      </c>
      <c r="J53">
        <v>0.40300000000000002</v>
      </c>
      <c r="K53">
        <v>0.59699999999999998</v>
      </c>
      <c r="L53">
        <v>4.7E-2</v>
      </c>
      <c r="M53">
        <v>2.2030000000000003</v>
      </c>
      <c r="N53" t="s">
        <v>758</v>
      </c>
      <c r="O53">
        <v>10</v>
      </c>
      <c r="P53">
        <v>840</v>
      </c>
      <c r="T53">
        <v>1.4</v>
      </c>
      <c r="U53">
        <v>59.010440308669985</v>
      </c>
    </row>
    <row r="54" spans="1:21" x14ac:dyDescent="0.2">
      <c r="A54" t="s">
        <v>232</v>
      </c>
      <c r="B54" t="s">
        <v>134</v>
      </c>
      <c r="C54" t="s">
        <v>135</v>
      </c>
      <c r="D54">
        <v>56</v>
      </c>
      <c r="E54">
        <v>500</v>
      </c>
      <c r="F54">
        <v>23</v>
      </c>
      <c r="G54" t="s">
        <v>51</v>
      </c>
      <c r="H54" t="s">
        <v>51</v>
      </c>
      <c r="I54">
        <v>120</v>
      </c>
      <c r="J54">
        <v>0.4</v>
      </c>
      <c r="K54">
        <v>0.6</v>
      </c>
      <c r="L54">
        <v>3.1E-2</v>
      </c>
      <c r="M54">
        <v>2.2000000000000002</v>
      </c>
      <c r="O54">
        <v>8.9285714285714288</v>
      </c>
      <c r="P54">
        <v>700</v>
      </c>
      <c r="T54">
        <v>1.4</v>
      </c>
      <c r="U54">
        <v>54.54545454545454</v>
      </c>
    </row>
    <row r="55" spans="1:21" x14ac:dyDescent="0.2">
      <c r="A55" t="s">
        <v>223</v>
      </c>
      <c r="B55" t="s">
        <v>54</v>
      </c>
      <c r="C55" t="s">
        <v>54</v>
      </c>
      <c r="D55">
        <v>95</v>
      </c>
      <c r="E55">
        <v>350</v>
      </c>
      <c r="G55" t="s">
        <v>51</v>
      </c>
      <c r="I55">
        <v>160</v>
      </c>
      <c r="J55">
        <v>1</v>
      </c>
      <c r="K55">
        <v>0</v>
      </c>
      <c r="M55">
        <v>2.8</v>
      </c>
      <c r="O55">
        <v>3.6842105263157894</v>
      </c>
      <c r="P55">
        <v>455</v>
      </c>
      <c r="T55">
        <v>1.3</v>
      </c>
      <c r="U55">
        <v>57.142857142857146</v>
      </c>
    </row>
    <row r="56" spans="1:21" x14ac:dyDescent="0.2">
      <c r="A56" t="s">
        <v>183</v>
      </c>
      <c r="B56" t="s">
        <v>74</v>
      </c>
      <c r="C56" t="s">
        <v>75</v>
      </c>
      <c r="D56">
        <v>56</v>
      </c>
      <c r="E56">
        <v>550</v>
      </c>
      <c r="F56">
        <v>38</v>
      </c>
      <c r="G56" t="s">
        <v>51</v>
      </c>
      <c r="I56">
        <v>140</v>
      </c>
      <c r="J56">
        <v>0.3</v>
      </c>
      <c r="K56">
        <v>0.7</v>
      </c>
      <c r="M56">
        <v>2.1</v>
      </c>
      <c r="O56">
        <v>9.8214285714285712</v>
      </c>
      <c r="P56">
        <v>770</v>
      </c>
      <c r="T56">
        <v>1.4</v>
      </c>
      <c r="U56">
        <v>66.666666666666657</v>
      </c>
    </row>
    <row r="57" spans="1:21" x14ac:dyDescent="0.2">
      <c r="A57" t="s">
        <v>154</v>
      </c>
      <c r="B57" t="s">
        <v>68</v>
      </c>
      <c r="C57" t="s">
        <v>101</v>
      </c>
      <c r="D57">
        <v>45</v>
      </c>
      <c r="E57">
        <v>600</v>
      </c>
      <c r="F57">
        <v>25</v>
      </c>
      <c r="G57" t="s">
        <v>51</v>
      </c>
      <c r="I57">
        <v>150</v>
      </c>
      <c r="J57">
        <v>0</v>
      </c>
      <c r="K57">
        <v>1</v>
      </c>
      <c r="M57">
        <v>1.8</v>
      </c>
      <c r="O57">
        <v>13.333333333333334</v>
      </c>
      <c r="P57">
        <v>900</v>
      </c>
      <c r="Q57" t="s">
        <v>66</v>
      </c>
      <c r="T57">
        <v>1.5</v>
      </c>
      <c r="U57">
        <v>83.333333333333329</v>
      </c>
    </row>
    <row r="58" spans="1:21" x14ac:dyDescent="0.2">
      <c r="A58" t="s">
        <v>273</v>
      </c>
      <c r="D58">
        <v>63</v>
      </c>
      <c r="E58">
        <v>595</v>
      </c>
      <c r="M58">
        <v>2.132453658536587</v>
      </c>
      <c r="P58">
        <v>733</v>
      </c>
    </row>
    <row r="59" spans="1:21" x14ac:dyDescent="0.2">
      <c r="A59" t="s">
        <v>219</v>
      </c>
      <c r="B59" t="s">
        <v>61</v>
      </c>
      <c r="C59" t="s">
        <v>61</v>
      </c>
      <c r="D59">
        <v>70</v>
      </c>
      <c r="E59">
        <v>400</v>
      </c>
      <c r="F59">
        <v>25</v>
      </c>
      <c r="G59" t="s">
        <v>51</v>
      </c>
      <c r="I59">
        <v>140</v>
      </c>
      <c r="J59">
        <v>0.3</v>
      </c>
      <c r="K59">
        <v>0.7</v>
      </c>
      <c r="M59">
        <v>2.1</v>
      </c>
      <c r="O59">
        <v>5.7142857142857144</v>
      </c>
      <c r="P59">
        <v>560</v>
      </c>
      <c r="T59">
        <v>1.4</v>
      </c>
      <c r="U59">
        <v>66.666666666666657</v>
      </c>
    </row>
    <row r="60" spans="1:21" x14ac:dyDescent="0.2">
      <c r="A60" t="s">
        <v>175</v>
      </c>
      <c r="B60" t="s">
        <v>74</v>
      </c>
      <c r="C60" t="s">
        <v>75</v>
      </c>
      <c r="D60">
        <v>63</v>
      </c>
      <c r="E60">
        <v>550</v>
      </c>
      <c r="F60">
        <v>35</v>
      </c>
      <c r="G60" t="s">
        <v>51</v>
      </c>
      <c r="I60">
        <v>130</v>
      </c>
      <c r="J60">
        <v>0.2</v>
      </c>
      <c r="K60">
        <v>0.8</v>
      </c>
      <c r="M60">
        <v>2</v>
      </c>
      <c r="O60">
        <v>8.7301587301587293</v>
      </c>
      <c r="P60">
        <v>770</v>
      </c>
      <c r="T60">
        <v>1.4</v>
      </c>
      <c r="U60">
        <v>65</v>
      </c>
    </row>
    <row r="61" spans="1:21" x14ac:dyDescent="0.2">
      <c r="A61" t="s">
        <v>144</v>
      </c>
      <c r="B61" t="s">
        <v>68</v>
      </c>
      <c r="C61" t="s">
        <v>68</v>
      </c>
      <c r="D61">
        <v>63</v>
      </c>
      <c r="E61">
        <v>600</v>
      </c>
      <c r="F61">
        <v>22</v>
      </c>
      <c r="G61" t="s">
        <v>51</v>
      </c>
      <c r="I61">
        <v>120</v>
      </c>
      <c r="J61">
        <v>0.7</v>
      </c>
      <c r="K61">
        <v>0.30000000000000004</v>
      </c>
      <c r="M61">
        <v>2.5</v>
      </c>
      <c r="O61">
        <v>9.5238095238095237</v>
      </c>
      <c r="P61">
        <v>840</v>
      </c>
      <c r="Q61" t="s">
        <v>62</v>
      </c>
      <c r="T61">
        <v>1.4</v>
      </c>
      <c r="U61">
        <v>48</v>
      </c>
    </row>
    <row r="62" spans="1:21" x14ac:dyDescent="0.2">
      <c r="A62" t="s">
        <v>207</v>
      </c>
      <c r="B62" t="s">
        <v>74</v>
      </c>
      <c r="C62" t="s">
        <v>75</v>
      </c>
      <c r="D62">
        <v>70</v>
      </c>
      <c r="E62">
        <v>500</v>
      </c>
      <c r="F62">
        <v>37</v>
      </c>
      <c r="G62" t="s">
        <v>51</v>
      </c>
      <c r="K62">
        <v>1</v>
      </c>
      <c r="M62">
        <v>1.8</v>
      </c>
      <c r="O62">
        <v>7.1428571428571432</v>
      </c>
      <c r="P62">
        <v>700</v>
      </c>
      <c r="T62">
        <v>1.4</v>
      </c>
      <c r="U62">
        <v>0</v>
      </c>
    </row>
    <row r="63" spans="1:21" x14ac:dyDescent="0.2">
      <c r="A63" t="s">
        <v>145</v>
      </c>
      <c r="B63" t="s">
        <v>54</v>
      </c>
      <c r="C63" t="s">
        <v>54</v>
      </c>
      <c r="D63">
        <v>70</v>
      </c>
      <c r="E63">
        <v>600</v>
      </c>
      <c r="G63" t="s">
        <v>51</v>
      </c>
      <c r="I63">
        <v>110</v>
      </c>
      <c r="J63">
        <v>0.8</v>
      </c>
      <c r="K63">
        <v>0.19999999999999996</v>
      </c>
      <c r="M63">
        <v>2.5999999999999996</v>
      </c>
      <c r="O63">
        <v>8.5714285714285712</v>
      </c>
      <c r="P63">
        <v>840</v>
      </c>
      <c r="T63">
        <v>1.4</v>
      </c>
      <c r="U63">
        <v>42.307692307692314</v>
      </c>
    </row>
    <row r="64" spans="1:21" x14ac:dyDescent="0.2">
      <c r="A64" t="s">
        <v>146</v>
      </c>
      <c r="B64" t="s">
        <v>74</v>
      </c>
      <c r="C64" t="s">
        <v>75</v>
      </c>
      <c r="D64">
        <v>63</v>
      </c>
      <c r="E64">
        <v>600</v>
      </c>
      <c r="F64">
        <v>33</v>
      </c>
      <c r="G64" t="s">
        <v>51</v>
      </c>
      <c r="I64">
        <v>140</v>
      </c>
      <c r="J64">
        <v>0.7</v>
      </c>
      <c r="K64">
        <v>0.30000000000000004</v>
      </c>
      <c r="M64">
        <v>2.5</v>
      </c>
      <c r="O64">
        <v>9.5238095238095237</v>
      </c>
      <c r="P64">
        <v>840</v>
      </c>
      <c r="T64">
        <v>1.4</v>
      </c>
      <c r="U64">
        <v>56</v>
      </c>
    </row>
    <row r="65" spans="1:21" x14ac:dyDescent="0.2">
      <c r="A65" t="s">
        <v>179</v>
      </c>
      <c r="B65" t="s">
        <v>68</v>
      </c>
      <c r="C65" t="s">
        <v>68</v>
      </c>
      <c r="D65">
        <v>56</v>
      </c>
      <c r="E65">
        <v>550</v>
      </c>
      <c r="F65">
        <v>25</v>
      </c>
      <c r="G65" t="s">
        <v>51</v>
      </c>
      <c r="I65">
        <v>130</v>
      </c>
      <c r="J65">
        <v>0.6</v>
      </c>
      <c r="K65">
        <v>0.4</v>
      </c>
      <c r="M65">
        <v>2.4</v>
      </c>
      <c r="O65">
        <v>9.8214285714285712</v>
      </c>
      <c r="P65">
        <v>770</v>
      </c>
      <c r="Q65" t="s">
        <v>62</v>
      </c>
      <c r="T65">
        <v>1.4</v>
      </c>
      <c r="U65">
        <v>54.166666666666671</v>
      </c>
    </row>
    <row r="66" spans="1:21" x14ac:dyDescent="0.2">
      <c r="A66" t="s">
        <v>72</v>
      </c>
      <c r="B66" t="s">
        <v>50</v>
      </c>
      <c r="C66" t="s">
        <v>50</v>
      </c>
      <c r="D66">
        <v>56</v>
      </c>
      <c r="E66">
        <v>650</v>
      </c>
      <c r="F66">
        <v>24</v>
      </c>
      <c r="G66" t="s">
        <v>51</v>
      </c>
      <c r="J66">
        <v>0.4</v>
      </c>
      <c r="K66">
        <v>0.6</v>
      </c>
      <c r="M66">
        <v>2.2000000000000002</v>
      </c>
      <c r="O66">
        <v>11.607142857142858</v>
      </c>
      <c r="P66">
        <v>910</v>
      </c>
      <c r="T66">
        <v>1.4</v>
      </c>
      <c r="U66">
        <v>0</v>
      </c>
    </row>
    <row r="67" spans="1:21" x14ac:dyDescent="0.2">
      <c r="A67" t="s">
        <v>188</v>
      </c>
      <c r="B67" t="s">
        <v>68</v>
      </c>
      <c r="C67" t="s">
        <v>68</v>
      </c>
      <c r="D67">
        <v>84</v>
      </c>
      <c r="E67">
        <v>500</v>
      </c>
      <c r="F67">
        <v>25</v>
      </c>
      <c r="G67" t="s">
        <v>51</v>
      </c>
      <c r="I67">
        <v>150</v>
      </c>
      <c r="J67">
        <v>0.7</v>
      </c>
      <c r="K67">
        <v>0.30000000000000004</v>
      </c>
      <c r="M67">
        <v>2.5</v>
      </c>
      <c r="O67">
        <v>5.9523809523809526</v>
      </c>
      <c r="P67">
        <v>650</v>
      </c>
      <c r="Q67" t="s">
        <v>62</v>
      </c>
      <c r="S67">
        <v>65</v>
      </c>
      <c r="T67">
        <v>1.3</v>
      </c>
      <c r="U67">
        <v>60</v>
      </c>
    </row>
    <row r="68" spans="1:21" x14ac:dyDescent="0.2">
      <c r="A68" t="s">
        <v>248</v>
      </c>
      <c r="B68" t="s">
        <v>134</v>
      </c>
      <c r="C68" t="s">
        <v>135</v>
      </c>
      <c r="D68">
        <v>49</v>
      </c>
      <c r="E68">
        <v>550</v>
      </c>
      <c r="F68">
        <v>25</v>
      </c>
      <c r="G68" t="s">
        <v>51</v>
      </c>
      <c r="J68">
        <v>0.6</v>
      </c>
      <c r="K68">
        <v>0.4</v>
      </c>
      <c r="M68">
        <v>2.4</v>
      </c>
      <c r="O68">
        <v>11.224489795918368</v>
      </c>
      <c r="P68">
        <v>825</v>
      </c>
      <c r="T68">
        <v>1.5</v>
      </c>
      <c r="U68">
        <v>0</v>
      </c>
    </row>
    <row r="69" spans="1:21" x14ac:dyDescent="0.2">
      <c r="A69" t="s">
        <v>147</v>
      </c>
      <c r="B69" t="s">
        <v>79</v>
      </c>
      <c r="C69" t="s">
        <v>80</v>
      </c>
      <c r="D69">
        <v>70</v>
      </c>
      <c r="E69">
        <v>600</v>
      </c>
      <c r="F69">
        <v>30</v>
      </c>
      <c r="G69" t="s">
        <v>51</v>
      </c>
      <c r="I69">
        <v>180</v>
      </c>
      <c r="J69">
        <v>0.5</v>
      </c>
      <c r="K69">
        <v>0.5</v>
      </c>
      <c r="M69">
        <v>2.2999999999999998</v>
      </c>
      <c r="O69">
        <v>8.5714285714285712</v>
      </c>
      <c r="P69">
        <v>840</v>
      </c>
      <c r="Q69" t="s">
        <v>62</v>
      </c>
      <c r="T69">
        <v>1.4</v>
      </c>
      <c r="U69">
        <v>78.260869565217391</v>
      </c>
    </row>
    <row r="70" spans="1:21" x14ac:dyDescent="0.2">
      <c r="A70" t="s">
        <v>249</v>
      </c>
      <c r="B70" t="s">
        <v>134</v>
      </c>
      <c r="C70" t="s">
        <v>135</v>
      </c>
      <c r="D70">
        <v>49</v>
      </c>
      <c r="E70">
        <v>550</v>
      </c>
      <c r="F70">
        <v>23</v>
      </c>
      <c r="G70" t="s">
        <v>51</v>
      </c>
      <c r="J70">
        <v>0.3</v>
      </c>
      <c r="K70">
        <v>0.7</v>
      </c>
      <c r="M70">
        <v>2.1</v>
      </c>
      <c r="O70">
        <v>11.224489795918368</v>
      </c>
      <c r="P70">
        <v>825</v>
      </c>
      <c r="T70">
        <v>1.5</v>
      </c>
      <c r="U70">
        <v>0</v>
      </c>
    </row>
    <row r="71" spans="1:21" x14ac:dyDescent="0.2">
      <c r="A71" t="s">
        <v>236</v>
      </c>
      <c r="B71" t="s">
        <v>68</v>
      </c>
      <c r="C71" t="s">
        <v>69</v>
      </c>
      <c r="D71">
        <v>50</v>
      </c>
      <c r="E71">
        <v>600</v>
      </c>
      <c r="F71">
        <v>24</v>
      </c>
      <c r="G71" t="s">
        <v>51</v>
      </c>
      <c r="I71">
        <v>160</v>
      </c>
      <c r="J71">
        <v>0.3</v>
      </c>
      <c r="K71">
        <v>0.7</v>
      </c>
      <c r="M71">
        <v>2.1</v>
      </c>
      <c r="O71">
        <v>12</v>
      </c>
      <c r="P71">
        <v>900</v>
      </c>
      <c r="T71">
        <v>1.5</v>
      </c>
      <c r="U71">
        <v>76.19047619047619</v>
      </c>
    </row>
    <row r="72" spans="1:21" x14ac:dyDescent="0.2">
      <c r="A72" t="s">
        <v>177</v>
      </c>
      <c r="B72" t="s">
        <v>89</v>
      </c>
      <c r="D72">
        <v>65</v>
      </c>
      <c r="E72">
        <v>550</v>
      </c>
      <c r="G72" t="s">
        <v>51</v>
      </c>
      <c r="I72">
        <v>140</v>
      </c>
      <c r="J72">
        <v>0.2</v>
      </c>
      <c r="K72">
        <v>0.8</v>
      </c>
      <c r="M72">
        <v>2</v>
      </c>
      <c r="O72">
        <v>8.4615384615384617</v>
      </c>
      <c r="P72">
        <v>770</v>
      </c>
      <c r="T72">
        <v>1.4</v>
      </c>
      <c r="U72">
        <v>70</v>
      </c>
    </row>
    <row r="73" spans="1:21" x14ac:dyDescent="0.2">
      <c r="A73" t="s">
        <v>65</v>
      </c>
      <c r="B73" t="s">
        <v>61</v>
      </c>
      <c r="D73">
        <v>70</v>
      </c>
      <c r="E73">
        <v>700</v>
      </c>
      <c r="F73">
        <v>27</v>
      </c>
      <c r="G73" t="s">
        <v>51</v>
      </c>
      <c r="I73">
        <v>120</v>
      </c>
      <c r="J73">
        <v>0.45</v>
      </c>
      <c r="K73">
        <v>0.55000000000000004</v>
      </c>
      <c r="M73">
        <v>2.25</v>
      </c>
      <c r="O73">
        <v>10</v>
      </c>
      <c r="P73">
        <v>980</v>
      </c>
      <c r="Q73" t="s">
        <v>66</v>
      </c>
      <c r="T73">
        <v>1.4</v>
      </c>
      <c r="U73">
        <v>53.333333333333336</v>
      </c>
    </row>
    <row r="74" spans="1:21" x14ac:dyDescent="0.2">
      <c r="A74" t="s">
        <v>250</v>
      </c>
      <c r="B74" t="s">
        <v>134</v>
      </c>
      <c r="C74" t="s">
        <v>135</v>
      </c>
      <c r="D74">
        <v>42</v>
      </c>
      <c r="E74">
        <v>600</v>
      </c>
      <c r="F74">
        <v>20</v>
      </c>
      <c r="G74" t="s">
        <v>51</v>
      </c>
      <c r="J74">
        <v>0.3</v>
      </c>
      <c r="K74">
        <v>0.7</v>
      </c>
      <c r="M74">
        <v>2.1</v>
      </c>
      <c r="O74">
        <v>14.285714285714286</v>
      </c>
      <c r="P74">
        <v>900</v>
      </c>
      <c r="T74">
        <v>1.5</v>
      </c>
      <c r="U74">
        <v>0</v>
      </c>
    </row>
    <row r="75" spans="1:21" x14ac:dyDescent="0.2">
      <c r="A75" t="s">
        <v>70</v>
      </c>
      <c r="B75" t="s">
        <v>50</v>
      </c>
      <c r="C75" t="s">
        <v>50</v>
      </c>
      <c r="D75">
        <v>84</v>
      </c>
      <c r="E75">
        <v>700</v>
      </c>
      <c r="G75" t="s">
        <v>51</v>
      </c>
      <c r="J75">
        <v>0.8</v>
      </c>
      <c r="K75">
        <v>0.19999999999999996</v>
      </c>
      <c r="M75">
        <v>2.5999999999999996</v>
      </c>
      <c r="O75">
        <v>8.3333333333333339</v>
      </c>
      <c r="P75">
        <v>910</v>
      </c>
      <c r="T75">
        <v>1.3</v>
      </c>
      <c r="U75">
        <v>0</v>
      </c>
    </row>
    <row r="76" spans="1:21" x14ac:dyDescent="0.2">
      <c r="A76" t="s">
        <v>148</v>
      </c>
      <c r="B76" t="s">
        <v>74</v>
      </c>
      <c r="C76" t="s">
        <v>75</v>
      </c>
      <c r="D76">
        <v>70</v>
      </c>
      <c r="E76">
        <v>600</v>
      </c>
      <c r="F76">
        <v>36</v>
      </c>
      <c r="G76" t="s">
        <v>51</v>
      </c>
      <c r="I76">
        <v>150</v>
      </c>
      <c r="J76">
        <v>0.6</v>
      </c>
      <c r="K76">
        <v>0.4</v>
      </c>
      <c r="M76">
        <v>2.4</v>
      </c>
      <c r="O76">
        <v>8.5714285714285712</v>
      </c>
      <c r="P76">
        <v>840</v>
      </c>
      <c r="T76">
        <v>1.4</v>
      </c>
      <c r="U76">
        <v>62.5</v>
      </c>
    </row>
    <row r="77" spans="1:21" x14ac:dyDescent="0.2">
      <c r="A77" t="s">
        <v>178</v>
      </c>
      <c r="B77" t="s">
        <v>74</v>
      </c>
      <c r="C77" t="s">
        <v>75</v>
      </c>
      <c r="D77">
        <v>63</v>
      </c>
      <c r="E77">
        <v>550</v>
      </c>
      <c r="F77">
        <v>24</v>
      </c>
      <c r="G77" t="s">
        <v>51</v>
      </c>
      <c r="I77">
        <v>120</v>
      </c>
      <c r="J77">
        <v>0</v>
      </c>
      <c r="K77">
        <v>1</v>
      </c>
      <c r="M77">
        <v>1.8</v>
      </c>
      <c r="O77">
        <v>8.7301587301587293</v>
      </c>
      <c r="P77">
        <v>770</v>
      </c>
      <c r="T77">
        <v>1.4</v>
      </c>
      <c r="U77">
        <v>66.666666666666671</v>
      </c>
    </row>
    <row r="78" spans="1:21" x14ac:dyDescent="0.2">
      <c r="A78" t="s">
        <v>85</v>
      </c>
      <c r="B78" t="s">
        <v>760</v>
      </c>
      <c r="C78" t="s">
        <v>760</v>
      </c>
      <c r="D78">
        <v>84</v>
      </c>
      <c r="E78">
        <v>700</v>
      </c>
      <c r="F78">
        <v>32</v>
      </c>
      <c r="G78" t="s">
        <v>51</v>
      </c>
      <c r="I78">
        <v>150</v>
      </c>
      <c r="K78">
        <v>1</v>
      </c>
      <c r="M78">
        <v>1.8</v>
      </c>
      <c r="O78">
        <v>8.3333333333333339</v>
      </c>
      <c r="P78">
        <v>910</v>
      </c>
      <c r="T78">
        <v>1.3</v>
      </c>
      <c r="U78">
        <v>83.333333333333329</v>
      </c>
    </row>
    <row r="79" spans="1:21" x14ac:dyDescent="0.2">
      <c r="A79" t="s">
        <v>71</v>
      </c>
      <c r="B79" t="s">
        <v>61</v>
      </c>
      <c r="C79" t="s">
        <v>50</v>
      </c>
      <c r="D79">
        <v>70</v>
      </c>
      <c r="E79">
        <v>700</v>
      </c>
      <c r="F79">
        <v>23</v>
      </c>
      <c r="G79" t="s">
        <v>51</v>
      </c>
      <c r="I79">
        <v>170</v>
      </c>
      <c r="J79">
        <v>0.7</v>
      </c>
      <c r="K79">
        <v>0.30000000000000004</v>
      </c>
      <c r="M79">
        <v>2.5</v>
      </c>
      <c r="O79">
        <v>10</v>
      </c>
      <c r="P79">
        <v>980</v>
      </c>
      <c r="Q79" t="s">
        <v>62</v>
      </c>
      <c r="S79">
        <v>85</v>
      </c>
      <c r="T79">
        <v>1.4</v>
      </c>
      <c r="U79">
        <v>68</v>
      </c>
    </row>
    <row r="80" spans="1:21" x14ac:dyDescent="0.2">
      <c r="A80" t="s">
        <v>197</v>
      </c>
      <c r="B80" t="s">
        <v>61</v>
      </c>
      <c r="C80" t="s">
        <v>61</v>
      </c>
      <c r="D80">
        <v>77</v>
      </c>
      <c r="E80">
        <v>450</v>
      </c>
      <c r="F80">
        <v>27</v>
      </c>
      <c r="G80" t="s">
        <v>51</v>
      </c>
      <c r="I80">
        <v>140</v>
      </c>
      <c r="J80">
        <v>0.65</v>
      </c>
      <c r="K80">
        <v>0.35</v>
      </c>
      <c r="M80">
        <v>2.4499999999999997</v>
      </c>
      <c r="O80">
        <v>5.8441558441558445</v>
      </c>
      <c r="P80">
        <v>585</v>
      </c>
      <c r="T80">
        <v>1.3</v>
      </c>
      <c r="U80">
        <v>57.142857142857146</v>
      </c>
    </row>
    <row r="81" spans="1:21" x14ac:dyDescent="0.2">
      <c r="A81" t="s">
        <v>208</v>
      </c>
      <c r="B81" t="s">
        <v>74</v>
      </c>
      <c r="C81" t="s">
        <v>75</v>
      </c>
      <c r="D81">
        <v>70</v>
      </c>
      <c r="E81">
        <v>500</v>
      </c>
      <c r="F81">
        <v>36</v>
      </c>
      <c r="G81" t="s">
        <v>51</v>
      </c>
      <c r="K81">
        <v>1</v>
      </c>
      <c r="M81">
        <v>1.8</v>
      </c>
      <c r="O81">
        <v>7.1428571428571432</v>
      </c>
      <c r="P81">
        <v>700</v>
      </c>
      <c r="T81">
        <v>1.4</v>
      </c>
      <c r="U81">
        <v>0</v>
      </c>
    </row>
    <row r="82" spans="1:21" x14ac:dyDescent="0.2">
      <c r="A82" t="s">
        <v>126</v>
      </c>
      <c r="B82" t="s">
        <v>127</v>
      </c>
      <c r="C82" t="s">
        <v>127</v>
      </c>
      <c r="D82">
        <v>50</v>
      </c>
      <c r="E82">
        <v>625</v>
      </c>
      <c r="F82">
        <v>14</v>
      </c>
      <c r="G82" t="s">
        <v>51</v>
      </c>
      <c r="I82">
        <v>100</v>
      </c>
      <c r="J82">
        <v>0.5</v>
      </c>
      <c r="K82">
        <v>0.5</v>
      </c>
      <c r="M82">
        <v>2.2999999999999998</v>
      </c>
      <c r="O82">
        <v>12.5</v>
      </c>
      <c r="P82">
        <v>938</v>
      </c>
      <c r="T82">
        <v>1.5</v>
      </c>
      <c r="U82">
        <v>43.478260869565219</v>
      </c>
    </row>
    <row r="83" spans="1:21" x14ac:dyDescent="0.2">
      <c r="A83" t="s">
        <v>251</v>
      </c>
      <c r="B83" t="s">
        <v>134</v>
      </c>
      <c r="C83" t="s">
        <v>135</v>
      </c>
      <c r="D83">
        <v>56</v>
      </c>
      <c r="E83">
        <v>600</v>
      </c>
      <c r="F83">
        <v>24</v>
      </c>
      <c r="G83" t="s">
        <v>51</v>
      </c>
      <c r="J83">
        <v>0.75</v>
      </c>
      <c r="K83">
        <v>0.25</v>
      </c>
      <c r="M83">
        <v>2.5499999999999998</v>
      </c>
      <c r="O83">
        <v>10.714285714285714</v>
      </c>
      <c r="P83">
        <v>840</v>
      </c>
      <c r="T83">
        <v>1.4</v>
      </c>
      <c r="U83">
        <v>0</v>
      </c>
    </row>
    <row r="84" spans="1:21" x14ac:dyDescent="0.2">
      <c r="A84" t="s">
        <v>191</v>
      </c>
      <c r="B84" t="s">
        <v>89</v>
      </c>
      <c r="D84">
        <v>75</v>
      </c>
      <c r="E84">
        <v>500</v>
      </c>
      <c r="F84">
        <v>13</v>
      </c>
      <c r="G84" t="s">
        <v>51</v>
      </c>
      <c r="I84">
        <v>150</v>
      </c>
      <c r="J84">
        <v>0.85</v>
      </c>
      <c r="K84">
        <v>0.15000000000000002</v>
      </c>
      <c r="M84">
        <v>2.65</v>
      </c>
      <c r="O84">
        <v>6.666666666666667</v>
      </c>
      <c r="P84">
        <v>650</v>
      </c>
      <c r="Q84" t="s">
        <v>62</v>
      </c>
      <c r="T84">
        <v>1.3</v>
      </c>
      <c r="U84">
        <v>56.60377358490566</v>
      </c>
    </row>
    <row r="85" spans="1:21" x14ac:dyDescent="0.2">
      <c r="A85" t="s">
        <v>212</v>
      </c>
      <c r="B85" t="s">
        <v>57</v>
      </c>
      <c r="C85" t="s">
        <v>57</v>
      </c>
      <c r="D85">
        <v>70</v>
      </c>
      <c r="E85">
        <v>450</v>
      </c>
      <c r="F85">
        <v>24</v>
      </c>
      <c r="G85" t="s">
        <v>51</v>
      </c>
      <c r="I85">
        <v>120</v>
      </c>
      <c r="J85">
        <v>0.75</v>
      </c>
      <c r="K85">
        <v>0.25</v>
      </c>
      <c r="M85">
        <v>2.5499999999999998</v>
      </c>
      <c r="O85">
        <v>6.4285714285714288</v>
      </c>
      <c r="P85">
        <v>630</v>
      </c>
      <c r="T85">
        <v>1.4</v>
      </c>
      <c r="U85">
        <v>47.058823529411768</v>
      </c>
    </row>
    <row r="86" spans="1:21" x14ac:dyDescent="0.2">
      <c r="A86" t="s">
        <v>200</v>
      </c>
      <c r="B86" t="s">
        <v>68</v>
      </c>
      <c r="C86" t="s">
        <v>68</v>
      </c>
      <c r="D86">
        <v>56</v>
      </c>
      <c r="E86">
        <v>500</v>
      </c>
      <c r="F86">
        <v>22</v>
      </c>
      <c r="G86" t="s">
        <v>51</v>
      </c>
      <c r="I86">
        <v>120</v>
      </c>
      <c r="J86">
        <v>0.25</v>
      </c>
      <c r="K86">
        <v>0.75</v>
      </c>
      <c r="M86">
        <v>2.0499999999999998</v>
      </c>
      <c r="O86">
        <v>8.9285714285714288</v>
      </c>
      <c r="P86">
        <v>700</v>
      </c>
      <c r="Q86" t="s">
        <v>62</v>
      </c>
      <c r="T86">
        <v>1.4</v>
      </c>
      <c r="U86">
        <v>58.536585365853661</v>
      </c>
    </row>
    <row r="87" spans="1:21" x14ac:dyDescent="0.2">
      <c r="A87" t="s">
        <v>252</v>
      </c>
      <c r="B87" t="s">
        <v>134</v>
      </c>
      <c r="C87" t="s">
        <v>135</v>
      </c>
      <c r="D87">
        <v>49</v>
      </c>
      <c r="E87">
        <v>600</v>
      </c>
      <c r="F87">
        <v>25</v>
      </c>
      <c r="G87" t="s">
        <v>51</v>
      </c>
      <c r="J87">
        <v>0.2</v>
      </c>
      <c r="K87">
        <v>0.8</v>
      </c>
      <c r="M87">
        <v>2</v>
      </c>
      <c r="O87">
        <v>12.244897959183673</v>
      </c>
      <c r="P87">
        <v>900</v>
      </c>
      <c r="T87">
        <v>1.5</v>
      </c>
      <c r="U87">
        <v>0</v>
      </c>
    </row>
    <row r="88" spans="1:21" x14ac:dyDescent="0.2">
      <c r="A88" t="s">
        <v>149</v>
      </c>
      <c r="B88" t="s">
        <v>89</v>
      </c>
      <c r="D88">
        <v>65</v>
      </c>
      <c r="E88">
        <v>600</v>
      </c>
      <c r="G88" t="s">
        <v>51</v>
      </c>
      <c r="I88">
        <v>140</v>
      </c>
      <c r="J88">
        <v>0.2</v>
      </c>
      <c r="K88">
        <v>0.8</v>
      </c>
      <c r="M88">
        <v>2</v>
      </c>
      <c r="O88">
        <v>9.2307692307692299</v>
      </c>
      <c r="P88">
        <v>840</v>
      </c>
      <c r="T88">
        <v>1.4</v>
      </c>
      <c r="U88">
        <v>70</v>
      </c>
    </row>
    <row r="89" spans="1:21" x14ac:dyDescent="0.2">
      <c r="A89" t="s">
        <v>150</v>
      </c>
      <c r="B89" t="s">
        <v>54</v>
      </c>
      <c r="C89" t="s">
        <v>54</v>
      </c>
      <c r="D89">
        <v>75</v>
      </c>
      <c r="E89">
        <v>600</v>
      </c>
      <c r="G89" t="s">
        <v>51</v>
      </c>
      <c r="I89">
        <v>110</v>
      </c>
      <c r="J89">
        <v>0.8</v>
      </c>
      <c r="K89">
        <v>0.19999999999999996</v>
      </c>
      <c r="M89">
        <v>2.5999999999999996</v>
      </c>
      <c r="O89">
        <v>8</v>
      </c>
      <c r="P89">
        <v>780</v>
      </c>
      <c r="T89">
        <v>1.3</v>
      </c>
      <c r="U89">
        <v>42.307692307692314</v>
      </c>
    </row>
    <row r="90" spans="1:21" x14ac:dyDescent="0.2">
      <c r="A90" t="s">
        <v>228</v>
      </c>
      <c r="B90" t="s">
        <v>68</v>
      </c>
      <c r="C90" t="s">
        <v>229</v>
      </c>
      <c r="D90">
        <v>56</v>
      </c>
      <c r="E90">
        <v>500</v>
      </c>
      <c r="G90" t="s">
        <v>51</v>
      </c>
      <c r="I90">
        <v>150</v>
      </c>
      <c r="J90">
        <v>0.6</v>
      </c>
      <c r="K90">
        <v>0.4</v>
      </c>
      <c r="M90">
        <v>2.4</v>
      </c>
      <c r="O90">
        <v>8.9285714285714288</v>
      </c>
      <c r="P90">
        <v>700</v>
      </c>
      <c r="T90">
        <v>1.4</v>
      </c>
      <c r="U90">
        <v>62.5</v>
      </c>
    </row>
    <row r="91" spans="1:21" x14ac:dyDescent="0.2">
      <c r="A91" t="s">
        <v>151</v>
      </c>
      <c r="B91" t="s">
        <v>79</v>
      </c>
      <c r="C91" t="s">
        <v>80</v>
      </c>
      <c r="D91">
        <v>70</v>
      </c>
      <c r="E91">
        <v>600</v>
      </c>
      <c r="F91">
        <v>30</v>
      </c>
      <c r="G91" t="s">
        <v>51</v>
      </c>
      <c r="I91">
        <v>200</v>
      </c>
      <c r="J91">
        <v>0.5</v>
      </c>
      <c r="K91">
        <v>0.5</v>
      </c>
      <c r="M91">
        <v>2.2999999999999998</v>
      </c>
      <c r="O91">
        <v>8.5714285714285712</v>
      </c>
      <c r="P91">
        <v>840</v>
      </c>
      <c r="Q91" t="s">
        <v>62</v>
      </c>
      <c r="T91">
        <v>1.4</v>
      </c>
      <c r="U91">
        <v>86.956521739130437</v>
      </c>
    </row>
    <row r="92" spans="1:21" x14ac:dyDescent="0.2">
      <c r="A92" t="s">
        <v>76</v>
      </c>
      <c r="B92" t="s">
        <v>50</v>
      </c>
      <c r="C92" t="s">
        <v>50</v>
      </c>
      <c r="D92">
        <v>56</v>
      </c>
      <c r="E92">
        <v>650</v>
      </c>
      <c r="F92">
        <v>23</v>
      </c>
      <c r="G92" t="s">
        <v>51</v>
      </c>
      <c r="J92">
        <v>0.5</v>
      </c>
      <c r="K92">
        <v>0.5</v>
      </c>
      <c r="M92">
        <v>2.2999999999999998</v>
      </c>
      <c r="O92">
        <v>11.607142857142858</v>
      </c>
      <c r="P92">
        <v>910</v>
      </c>
      <c r="Q92" t="s">
        <v>77</v>
      </c>
      <c r="T92">
        <v>1.4</v>
      </c>
      <c r="U92">
        <v>0</v>
      </c>
    </row>
    <row r="93" spans="1:21" x14ac:dyDescent="0.2">
      <c r="A93" t="s">
        <v>96</v>
      </c>
      <c r="B93" t="s">
        <v>79</v>
      </c>
      <c r="C93" t="s">
        <v>80</v>
      </c>
      <c r="D93">
        <v>63</v>
      </c>
      <c r="E93">
        <v>650</v>
      </c>
      <c r="F93">
        <v>30</v>
      </c>
      <c r="G93" t="s">
        <v>51</v>
      </c>
      <c r="I93">
        <v>180</v>
      </c>
      <c r="J93">
        <v>0.5</v>
      </c>
      <c r="K93">
        <v>0.5</v>
      </c>
      <c r="M93">
        <v>2.2999999999999998</v>
      </c>
      <c r="O93">
        <v>10.317460317460318</v>
      </c>
      <c r="P93">
        <v>910</v>
      </c>
      <c r="Q93" t="s">
        <v>62</v>
      </c>
      <c r="T93">
        <v>1.4</v>
      </c>
      <c r="U93">
        <v>78.260869565217391</v>
      </c>
    </row>
    <row r="94" spans="1:21" x14ac:dyDescent="0.2">
      <c r="A94" t="s">
        <v>152</v>
      </c>
      <c r="B94" t="s">
        <v>54</v>
      </c>
      <c r="C94" t="s">
        <v>54</v>
      </c>
      <c r="D94">
        <v>65</v>
      </c>
      <c r="E94">
        <v>600</v>
      </c>
      <c r="G94" t="s">
        <v>51</v>
      </c>
      <c r="I94">
        <v>110</v>
      </c>
      <c r="J94">
        <v>0.6</v>
      </c>
      <c r="K94">
        <v>0.4</v>
      </c>
      <c r="M94">
        <v>2.4</v>
      </c>
      <c r="O94">
        <v>9.2307692307692299</v>
      </c>
      <c r="P94">
        <v>840</v>
      </c>
      <c r="T94">
        <v>1.4</v>
      </c>
      <c r="U94">
        <v>45.833333333333336</v>
      </c>
    </row>
    <row r="95" spans="1:21" x14ac:dyDescent="0.2">
      <c r="A95" t="s">
        <v>100</v>
      </c>
      <c r="B95" t="s">
        <v>101</v>
      </c>
      <c r="C95" t="s">
        <v>101</v>
      </c>
      <c r="D95">
        <v>55</v>
      </c>
      <c r="E95">
        <v>700</v>
      </c>
      <c r="F95">
        <v>26</v>
      </c>
      <c r="G95" t="s">
        <v>51</v>
      </c>
      <c r="I95">
        <v>100</v>
      </c>
      <c r="J95">
        <v>0.3</v>
      </c>
      <c r="K95">
        <v>0.7</v>
      </c>
      <c r="M95">
        <v>2.1</v>
      </c>
      <c r="O95">
        <v>12.727272727272728</v>
      </c>
      <c r="P95">
        <v>1050</v>
      </c>
      <c r="Q95" t="s">
        <v>102</v>
      </c>
      <c r="T95">
        <v>1.5</v>
      </c>
      <c r="U95">
        <v>47.61904761904762</v>
      </c>
    </row>
    <row r="96" spans="1:21" x14ac:dyDescent="0.2">
      <c r="A96" t="s">
        <v>97</v>
      </c>
      <c r="B96" t="s">
        <v>54</v>
      </c>
      <c r="C96" t="s">
        <v>54</v>
      </c>
      <c r="D96">
        <v>65</v>
      </c>
      <c r="E96">
        <v>650</v>
      </c>
      <c r="G96" t="s">
        <v>51</v>
      </c>
      <c r="I96">
        <v>110</v>
      </c>
      <c r="J96">
        <v>0.3</v>
      </c>
      <c r="K96">
        <v>0.7</v>
      </c>
      <c r="M96">
        <v>2.1</v>
      </c>
      <c r="O96">
        <v>10</v>
      </c>
      <c r="P96">
        <v>910</v>
      </c>
      <c r="T96">
        <v>1.4</v>
      </c>
      <c r="U96">
        <v>52.38095238095238</v>
      </c>
    </row>
    <row r="97" spans="1:21" x14ac:dyDescent="0.2">
      <c r="A97" t="s">
        <v>164</v>
      </c>
      <c r="B97" t="s">
        <v>74</v>
      </c>
      <c r="C97" t="s">
        <v>165</v>
      </c>
      <c r="D97">
        <v>77</v>
      </c>
      <c r="E97">
        <v>600</v>
      </c>
      <c r="F97">
        <v>30</v>
      </c>
      <c r="G97" t="s">
        <v>51</v>
      </c>
      <c r="K97">
        <v>1</v>
      </c>
      <c r="M97">
        <v>1.8</v>
      </c>
      <c r="O97">
        <v>7.7922077922077921</v>
      </c>
      <c r="P97">
        <v>780</v>
      </c>
      <c r="T97">
        <v>1.3</v>
      </c>
      <c r="U97">
        <v>0</v>
      </c>
    </row>
    <row r="98" spans="1:21" x14ac:dyDescent="0.2">
      <c r="A98" t="s">
        <v>98</v>
      </c>
      <c r="B98" t="s">
        <v>74</v>
      </c>
      <c r="C98" t="s">
        <v>75</v>
      </c>
      <c r="D98">
        <v>91</v>
      </c>
      <c r="E98">
        <v>650</v>
      </c>
      <c r="F98">
        <v>20</v>
      </c>
      <c r="G98" t="s">
        <v>51</v>
      </c>
      <c r="I98">
        <v>150</v>
      </c>
      <c r="J98">
        <v>1</v>
      </c>
      <c r="K98">
        <v>0</v>
      </c>
      <c r="M98">
        <v>2.8</v>
      </c>
      <c r="O98">
        <v>7.1428571428571432</v>
      </c>
      <c r="P98">
        <v>845</v>
      </c>
      <c r="Q98" t="s">
        <v>99</v>
      </c>
      <c r="T98">
        <v>1.3</v>
      </c>
      <c r="U98">
        <v>53.571428571428577</v>
      </c>
    </row>
    <row r="99" spans="1:21" x14ac:dyDescent="0.2">
      <c r="A99" t="s">
        <v>103</v>
      </c>
      <c r="B99" t="s">
        <v>89</v>
      </c>
      <c r="C99" t="s">
        <v>104</v>
      </c>
      <c r="D99">
        <v>55</v>
      </c>
      <c r="E99">
        <v>600</v>
      </c>
      <c r="F99">
        <v>20</v>
      </c>
      <c r="G99" t="s">
        <v>51</v>
      </c>
      <c r="I99">
        <v>200</v>
      </c>
      <c r="J99">
        <v>0.2</v>
      </c>
      <c r="K99">
        <v>0.8</v>
      </c>
      <c r="M99">
        <v>2</v>
      </c>
      <c r="O99">
        <v>10.909090909090908</v>
      </c>
      <c r="P99">
        <v>900</v>
      </c>
      <c r="T99">
        <v>1.5</v>
      </c>
      <c r="U99">
        <v>100</v>
      </c>
    </row>
    <row r="100" spans="1:21" x14ac:dyDescent="0.2">
      <c r="A100" t="s">
        <v>140</v>
      </c>
      <c r="B100" t="s">
        <v>57</v>
      </c>
      <c r="C100" t="s">
        <v>57</v>
      </c>
      <c r="D100">
        <v>60</v>
      </c>
      <c r="E100">
        <v>550</v>
      </c>
      <c r="F100">
        <v>24</v>
      </c>
      <c r="G100" t="s">
        <v>51</v>
      </c>
      <c r="I100">
        <v>120</v>
      </c>
      <c r="J100">
        <v>0.4</v>
      </c>
      <c r="K100">
        <v>0.6</v>
      </c>
      <c r="M100">
        <v>2.2000000000000002</v>
      </c>
      <c r="O100">
        <v>9.1666666666666661</v>
      </c>
      <c r="P100">
        <v>770</v>
      </c>
      <c r="T100">
        <v>1.4</v>
      </c>
      <c r="U100">
        <v>54.54545454545454</v>
      </c>
    </row>
    <row r="101" spans="1:21" x14ac:dyDescent="0.2">
      <c r="A101" t="s">
        <v>253</v>
      </c>
      <c r="B101" t="s">
        <v>134</v>
      </c>
      <c r="C101" t="s">
        <v>135</v>
      </c>
      <c r="D101">
        <v>56</v>
      </c>
      <c r="E101">
        <v>500</v>
      </c>
      <c r="F101">
        <v>30</v>
      </c>
      <c r="G101" t="s">
        <v>51</v>
      </c>
      <c r="J101">
        <v>0.35</v>
      </c>
      <c r="K101">
        <v>0.65</v>
      </c>
      <c r="M101">
        <v>2.15</v>
      </c>
      <c r="O101">
        <v>8.9285714285714288</v>
      </c>
      <c r="P101">
        <v>700</v>
      </c>
      <c r="T101">
        <v>1.4</v>
      </c>
      <c r="U101">
        <v>0</v>
      </c>
    </row>
    <row r="102" spans="1:21" x14ac:dyDescent="0.2">
      <c r="A102" t="s">
        <v>167</v>
      </c>
      <c r="B102" t="s">
        <v>61</v>
      </c>
      <c r="C102" t="s">
        <v>61</v>
      </c>
      <c r="D102">
        <v>77</v>
      </c>
      <c r="E102">
        <v>600</v>
      </c>
      <c r="F102">
        <v>22</v>
      </c>
      <c r="G102" t="s">
        <v>51</v>
      </c>
      <c r="J102">
        <v>0.8</v>
      </c>
      <c r="K102">
        <v>0.19999999999999996</v>
      </c>
      <c r="M102">
        <v>2.5999999999999996</v>
      </c>
      <c r="O102">
        <v>7.7922077922077921</v>
      </c>
      <c r="P102">
        <v>780</v>
      </c>
      <c r="T102">
        <v>1.3</v>
      </c>
      <c r="U102">
        <v>0</v>
      </c>
    </row>
    <row r="103" spans="1:21" x14ac:dyDescent="0.2">
      <c r="A103" t="s">
        <v>220</v>
      </c>
      <c r="B103" t="s">
        <v>760</v>
      </c>
      <c r="C103" t="s">
        <v>760</v>
      </c>
      <c r="D103">
        <v>70</v>
      </c>
      <c r="E103">
        <v>700</v>
      </c>
      <c r="F103">
        <v>30</v>
      </c>
      <c r="G103" t="s">
        <v>51</v>
      </c>
      <c r="J103">
        <v>0.7</v>
      </c>
      <c r="K103">
        <v>0.30000000000000004</v>
      </c>
      <c r="M103">
        <v>2.5</v>
      </c>
      <c r="N103" t="s">
        <v>762</v>
      </c>
      <c r="O103">
        <v>10</v>
      </c>
      <c r="P103">
        <v>980</v>
      </c>
      <c r="T103">
        <v>1.4</v>
      </c>
      <c r="U103">
        <v>0</v>
      </c>
    </row>
    <row r="104" spans="1:21" x14ac:dyDescent="0.2">
      <c r="A104" t="s">
        <v>53</v>
      </c>
      <c r="B104" t="s">
        <v>54</v>
      </c>
      <c r="C104" t="s">
        <v>54</v>
      </c>
      <c r="D104">
        <v>60</v>
      </c>
      <c r="E104">
        <v>750</v>
      </c>
      <c r="G104" t="s">
        <v>51</v>
      </c>
      <c r="I104">
        <v>110</v>
      </c>
      <c r="J104">
        <v>0.35</v>
      </c>
      <c r="K104">
        <v>0.65</v>
      </c>
      <c r="M104">
        <v>2.15</v>
      </c>
      <c r="O104">
        <v>12.5</v>
      </c>
      <c r="P104">
        <v>1050</v>
      </c>
      <c r="T104">
        <v>1.4</v>
      </c>
      <c r="U104">
        <v>51.162790697674424</v>
      </c>
    </row>
    <row r="105" spans="1:21" x14ac:dyDescent="0.2">
      <c r="A105" t="s">
        <v>224</v>
      </c>
      <c r="B105" t="s">
        <v>89</v>
      </c>
      <c r="C105" t="s">
        <v>121</v>
      </c>
      <c r="D105">
        <v>65</v>
      </c>
      <c r="E105">
        <v>325</v>
      </c>
      <c r="G105" t="s">
        <v>51</v>
      </c>
      <c r="I105">
        <v>120</v>
      </c>
      <c r="J105">
        <v>0.35</v>
      </c>
      <c r="K105">
        <v>0.65</v>
      </c>
      <c r="M105">
        <v>2.15</v>
      </c>
      <c r="O105">
        <v>5</v>
      </c>
      <c r="P105">
        <v>455</v>
      </c>
      <c r="T105">
        <v>1.4</v>
      </c>
      <c r="U105">
        <v>55.813953488372093</v>
      </c>
    </row>
    <row r="106" spans="1:21" x14ac:dyDescent="0.2">
      <c r="A106" t="s">
        <v>73</v>
      </c>
      <c r="B106" t="s">
        <v>74</v>
      </c>
      <c r="C106" t="s">
        <v>75</v>
      </c>
      <c r="D106">
        <v>75</v>
      </c>
      <c r="E106">
        <v>700</v>
      </c>
      <c r="F106">
        <v>28</v>
      </c>
      <c r="G106" t="s">
        <v>51</v>
      </c>
      <c r="I106">
        <v>120</v>
      </c>
      <c r="J106">
        <v>0.6</v>
      </c>
      <c r="K106">
        <v>0.4</v>
      </c>
      <c r="M106">
        <v>2.4</v>
      </c>
      <c r="O106">
        <v>9.3333333333333339</v>
      </c>
      <c r="P106">
        <v>910</v>
      </c>
      <c r="T106">
        <v>1.3</v>
      </c>
      <c r="U106">
        <v>50</v>
      </c>
    </row>
    <row r="107" spans="1:21" x14ac:dyDescent="0.2">
      <c r="A107" t="s">
        <v>772</v>
      </c>
      <c r="B107" t="s">
        <v>106</v>
      </c>
      <c r="C107" t="s">
        <v>57</v>
      </c>
      <c r="D107">
        <v>63</v>
      </c>
      <c r="E107">
        <v>750</v>
      </c>
      <c r="F107">
        <v>27</v>
      </c>
      <c r="G107" t="s">
        <v>51</v>
      </c>
      <c r="I107">
        <v>140</v>
      </c>
      <c r="J107">
        <v>0.75</v>
      </c>
      <c r="K107">
        <v>0.25</v>
      </c>
      <c r="M107">
        <v>2.5499999999999998</v>
      </c>
      <c r="N107" t="s">
        <v>773</v>
      </c>
      <c r="O107">
        <v>11.904761904761903</v>
      </c>
      <c r="P107">
        <v>1050</v>
      </c>
      <c r="T107">
        <v>1.4</v>
      </c>
      <c r="U107">
        <v>54.901960784313729</v>
      </c>
    </row>
    <row r="108" spans="1:21" x14ac:dyDescent="0.2">
      <c r="A108" t="s">
        <v>193</v>
      </c>
      <c r="B108" t="s">
        <v>61</v>
      </c>
      <c r="C108" t="s">
        <v>61</v>
      </c>
      <c r="D108">
        <v>70</v>
      </c>
      <c r="E108">
        <v>500</v>
      </c>
      <c r="F108">
        <v>23</v>
      </c>
      <c r="G108" t="s">
        <v>51</v>
      </c>
      <c r="I108">
        <v>100</v>
      </c>
      <c r="J108">
        <v>0.7</v>
      </c>
      <c r="K108">
        <v>0.30000000000000004</v>
      </c>
      <c r="M108">
        <v>2.5</v>
      </c>
      <c r="O108">
        <v>7.1428571428571432</v>
      </c>
      <c r="P108">
        <v>700</v>
      </c>
      <c r="Q108" t="s">
        <v>66</v>
      </c>
      <c r="T108">
        <v>1.4</v>
      </c>
      <c r="U108">
        <v>40</v>
      </c>
    </row>
    <row r="109" spans="1:21" x14ac:dyDescent="0.2">
      <c r="A109" t="s">
        <v>213</v>
      </c>
      <c r="B109" t="s">
        <v>89</v>
      </c>
      <c r="C109" t="s">
        <v>123</v>
      </c>
      <c r="D109">
        <v>65</v>
      </c>
      <c r="E109">
        <v>450</v>
      </c>
      <c r="F109">
        <v>19</v>
      </c>
      <c r="G109" t="s">
        <v>51</v>
      </c>
      <c r="I109">
        <v>95</v>
      </c>
      <c r="J109">
        <v>0.1</v>
      </c>
      <c r="K109">
        <v>0.9</v>
      </c>
      <c r="M109">
        <v>1.9000000000000001</v>
      </c>
      <c r="O109">
        <v>6.9230769230769234</v>
      </c>
      <c r="P109">
        <v>630</v>
      </c>
      <c r="Q109" t="s">
        <v>66</v>
      </c>
      <c r="T109">
        <v>1.4</v>
      </c>
      <c r="U109">
        <v>50</v>
      </c>
    </row>
    <row r="110" spans="1:21" x14ac:dyDescent="0.2">
      <c r="A110" t="s">
        <v>204</v>
      </c>
      <c r="B110" t="s">
        <v>89</v>
      </c>
      <c r="D110">
        <v>70</v>
      </c>
      <c r="F110">
        <v>20</v>
      </c>
      <c r="G110" t="s">
        <v>51</v>
      </c>
      <c r="I110">
        <v>120</v>
      </c>
      <c r="J110">
        <v>0.7</v>
      </c>
      <c r="K110">
        <v>0.30000000000000004</v>
      </c>
      <c r="M110">
        <v>2.5</v>
      </c>
      <c r="O110">
        <v>0</v>
      </c>
      <c r="P110">
        <v>0</v>
      </c>
      <c r="Q110" t="s">
        <v>62</v>
      </c>
      <c r="T110">
        <v>1.4</v>
      </c>
      <c r="U110">
        <v>48</v>
      </c>
    </row>
    <row r="111" spans="1:21" x14ac:dyDescent="0.2">
      <c r="A111" t="s">
        <v>156</v>
      </c>
      <c r="B111" t="s">
        <v>89</v>
      </c>
      <c r="C111" t="s">
        <v>131</v>
      </c>
      <c r="D111">
        <v>65</v>
      </c>
      <c r="E111">
        <v>550</v>
      </c>
      <c r="F111">
        <v>30</v>
      </c>
      <c r="G111" t="s">
        <v>51</v>
      </c>
      <c r="K111">
        <v>1</v>
      </c>
      <c r="M111">
        <v>1.8</v>
      </c>
      <c r="O111">
        <v>8.4615384615384617</v>
      </c>
      <c r="P111">
        <v>770</v>
      </c>
      <c r="T111">
        <v>1.4</v>
      </c>
      <c r="U111">
        <v>0</v>
      </c>
    </row>
    <row r="112" spans="1:21" x14ac:dyDescent="0.2">
      <c r="A112" t="s">
        <v>209</v>
      </c>
      <c r="B112" t="s">
        <v>139</v>
      </c>
      <c r="D112">
        <v>65</v>
      </c>
      <c r="E112">
        <v>475</v>
      </c>
      <c r="F112">
        <v>19</v>
      </c>
      <c r="G112" t="s">
        <v>51</v>
      </c>
      <c r="I112">
        <v>160</v>
      </c>
      <c r="J112">
        <v>0.25</v>
      </c>
      <c r="K112">
        <v>0.75</v>
      </c>
      <c r="M112">
        <v>2.0499999999999998</v>
      </c>
      <c r="O112">
        <v>7.3076923076923075</v>
      </c>
      <c r="P112">
        <v>665</v>
      </c>
      <c r="T112">
        <v>1.4</v>
      </c>
      <c r="U112">
        <v>78.048780487804891</v>
      </c>
    </row>
    <row r="113" spans="1:21" x14ac:dyDescent="0.2">
      <c r="A113" t="s">
        <v>181</v>
      </c>
      <c r="B113" t="s">
        <v>89</v>
      </c>
      <c r="D113">
        <v>55</v>
      </c>
      <c r="E113">
        <v>550</v>
      </c>
      <c r="F113">
        <v>26</v>
      </c>
      <c r="G113" t="s">
        <v>51</v>
      </c>
      <c r="I113">
        <v>160</v>
      </c>
      <c r="J113">
        <v>0.25</v>
      </c>
      <c r="K113">
        <v>0.75</v>
      </c>
      <c r="M113">
        <v>2.0499999999999998</v>
      </c>
      <c r="O113">
        <v>10</v>
      </c>
      <c r="P113">
        <v>825</v>
      </c>
      <c r="Q113" t="s">
        <v>62</v>
      </c>
      <c r="T113">
        <v>1.5</v>
      </c>
      <c r="U113">
        <v>78.048780487804891</v>
      </c>
    </row>
    <row r="114" spans="1:21" x14ac:dyDescent="0.2">
      <c r="A114" t="s">
        <v>166</v>
      </c>
      <c r="B114" t="s">
        <v>74</v>
      </c>
      <c r="C114" t="s">
        <v>165</v>
      </c>
      <c r="D114">
        <v>70</v>
      </c>
      <c r="E114">
        <v>600</v>
      </c>
      <c r="F114">
        <v>30</v>
      </c>
      <c r="G114" t="s">
        <v>51</v>
      </c>
      <c r="I114">
        <v>150</v>
      </c>
      <c r="K114">
        <v>1</v>
      </c>
      <c r="M114">
        <v>1.8</v>
      </c>
      <c r="O114">
        <v>8.5714285714285712</v>
      </c>
      <c r="P114">
        <v>840</v>
      </c>
      <c r="T114">
        <v>1.4</v>
      </c>
      <c r="U114">
        <v>83.333333333333329</v>
      </c>
    </row>
    <row r="115" spans="1:21" x14ac:dyDescent="0.2">
      <c r="A115" t="s">
        <v>78</v>
      </c>
      <c r="B115" t="s">
        <v>79</v>
      </c>
      <c r="C115" t="s">
        <v>80</v>
      </c>
      <c r="D115">
        <v>70</v>
      </c>
      <c r="E115">
        <v>700</v>
      </c>
      <c r="F115">
        <v>30</v>
      </c>
      <c r="G115" t="s">
        <v>51</v>
      </c>
      <c r="I115">
        <v>120</v>
      </c>
      <c r="J115">
        <v>0.5</v>
      </c>
      <c r="K115">
        <v>0.5</v>
      </c>
      <c r="M115">
        <v>2.2999999999999998</v>
      </c>
      <c r="O115">
        <v>10</v>
      </c>
      <c r="P115">
        <v>980</v>
      </c>
      <c r="Q115" t="s">
        <v>62</v>
      </c>
      <c r="T115">
        <v>1.4</v>
      </c>
      <c r="U115">
        <v>52.173913043478265</v>
      </c>
    </row>
    <row r="116" spans="1:21" x14ac:dyDescent="0.2">
      <c r="A116" t="s">
        <v>254</v>
      </c>
      <c r="B116" t="s">
        <v>134</v>
      </c>
      <c r="C116" t="s">
        <v>135</v>
      </c>
      <c r="D116">
        <v>49</v>
      </c>
      <c r="E116">
        <v>600</v>
      </c>
      <c r="F116">
        <v>25</v>
      </c>
      <c r="G116" t="s">
        <v>51</v>
      </c>
      <c r="J116">
        <v>0.4</v>
      </c>
      <c r="K116">
        <v>0.6</v>
      </c>
      <c r="M116">
        <v>2.2000000000000002</v>
      </c>
      <c r="O116">
        <v>12.244897959183673</v>
      </c>
      <c r="P116">
        <v>900</v>
      </c>
      <c r="T116">
        <v>1.5</v>
      </c>
      <c r="U116">
        <v>0</v>
      </c>
    </row>
    <row r="117" spans="1:21" x14ac:dyDescent="0.2">
      <c r="A117" t="s">
        <v>64</v>
      </c>
      <c r="B117" t="s">
        <v>54</v>
      </c>
      <c r="C117" t="s">
        <v>54</v>
      </c>
      <c r="D117">
        <v>60</v>
      </c>
      <c r="E117">
        <v>650</v>
      </c>
      <c r="G117" t="s">
        <v>51</v>
      </c>
      <c r="I117">
        <v>110</v>
      </c>
      <c r="J117">
        <v>0.2</v>
      </c>
      <c r="K117">
        <v>0.8</v>
      </c>
      <c r="M117">
        <v>2</v>
      </c>
      <c r="O117">
        <v>10.833333333333334</v>
      </c>
      <c r="P117">
        <v>910</v>
      </c>
      <c r="T117">
        <v>1.4</v>
      </c>
      <c r="U117">
        <v>55</v>
      </c>
    </row>
    <row r="118" spans="1:21" x14ac:dyDescent="0.2">
      <c r="A118" t="s">
        <v>105</v>
      </c>
      <c r="B118" t="s">
        <v>106</v>
      </c>
      <c r="D118">
        <v>65</v>
      </c>
      <c r="E118">
        <v>650</v>
      </c>
      <c r="G118" t="s">
        <v>51</v>
      </c>
      <c r="I118">
        <v>110</v>
      </c>
      <c r="J118">
        <v>0.2</v>
      </c>
      <c r="K118">
        <v>0.8</v>
      </c>
      <c r="M118">
        <v>2</v>
      </c>
      <c r="O118">
        <v>10</v>
      </c>
      <c r="P118">
        <v>910</v>
      </c>
      <c r="T118">
        <v>1.4</v>
      </c>
      <c r="U118">
        <v>55</v>
      </c>
    </row>
    <row r="119" spans="1:21" x14ac:dyDescent="0.2">
      <c r="A119" t="s">
        <v>214</v>
      </c>
      <c r="B119" t="s">
        <v>68</v>
      </c>
      <c r="C119" t="s">
        <v>68</v>
      </c>
      <c r="D119">
        <v>65</v>
      </c>
      <c r="E119">
        <v>450</v>
      </c>
      <c r="F119">
        <v>25</v>
      </c>
      <c r="G119" t="s">
        <v>51</v>
      </c>
      <c r="K119">
        <v>1</v>
      </c>
      <c r="M119">
        <v>1.8</v>
      </c>
      <c r="O119">
        <v>6.9230769230769234</v>
      </c>
      <c r="P119">
        <v>630</v>
      </c>
      <c r="Q119" t="s">
        <v>62</v>
      </c>
      <c r="T119">
        <v>1.4</v>
      </c>
      <c r="U119">
        <v>0</v>
      </c>
    </row>
    <row r="120" spans="1:21" x14ac:dyDescent="0.2">
      <c r="A120" t="s">
        <v>196</v>
      </c>
      <c r="B120" t="s">
        <v>89</v>
      </c>
      <c r="C120" t="s">
        <v>131</v>
      </c>
      <c r="D120">
        <v>55</v>
      </c>
      <c r="E120">
        <v>500</v>
      </c>
      <c r="G120" t="s">
        <v>51</v>
      </c>
      <c r="J120">
        <v>0.5</v>
      </c>
      <c r="K120">
        <v>0.5</v>
      </c>
      <c r="M120">
        <v>2.2999999999999998</v>
      </c>
      <c r="O120">
        <v>9.0909090909090917</v>
      </c>
      <c r="P120">
        <v>750</v>
      </c>
      <c r="T120">
        <v>1.5</v>
      </c>
      <c r="U120">
        <v>0</v>
      </c>
    </row>
    <row r="121" spans="1:21" x14ac:dyDescent="0.2">
      <c r="A121" t="s">
        <v>168</v>
      </c>
      <c r="B121" t="s">
        <v>61</v>
      </c>
      <c r="C121" t="s">
        <v>169</v>
      </c>
      <c r="D121">
        <v>63</v>
      </c>
      <c r="E121">
        <v>600</v>
      </c>
      <c r="F121">
        <v>22</v>
      </c>
      <c r="G121" t="s">
        <v>51</v>
      </c>
      <c r="J121">
        <v>0.1</v>
      </c>
      <c r="K121">
        <v>0.9</v>
      </c>
      <c r="M121">
        <v>1.9000000000000001</v>
      </c>
      <c r="O121">
        <v>9.5238095238095237</v>
      </c>
      <c r="P121">
        <v>840</v>
      </c>
      <c r="T121">
        <v>1.4</v>
      </c>
      <c r="U121">
        <v>0</v>
      </c>
    </row>
    <row r="122" spans="1:21" x14ac:dyDescent="0.2">
      <c r="A122" t="s">
        <v>153</v>
      </c>
      <c r="B122" t="s">
        <v>139</v>
      </c>
      <c r="D122">
        <v>60</v>
      </c>
      <c r="E122">
        <v>600</v>
      </c>
      <c r="F122">
        <v>22</v>
      </c>
      <c r="G122" t="s">
        <v>51</v>
      </c>
      <c r="I122">
        <v>110</v>
      </c>
      <c r="J122">
        <v>0.1</v>
      </c>
      <c r="K122">
        <v>0.9</v>
      </c>
      <c r="M122">
        <v>1.9000000000000001</v>
      </c>
      <c r="O122">
        <v>10</v>
      </c>
      <c r="P122">
        <v>840</v>
      </c>
      <c r="T122">
        <v>1.4</v>
      </c>
      <c r="U122">
        <v>57.89473684210526</v>
      </c>
    </row>
    <row r="123" spans="1:21" x14ac:dyDescent="0.2">
      <c r="A123" t="s">
        <v>155</v>
      </c>
      <c r="B123" t="s">
        <v>74</v>
      </c>
      <c r="C123" t="s">
        <v>75</v>
      </c>
      <c r="D123">
        <v>77</v>
      </c>
      <c r="E123">
        <v>600</v>
      </c>
      <c r="F123">
        <v>22</v>
      </c>
      <c r="G123" t="s">
        <v>51</v>
      </c>
      <c r="I123">
        <v>180</v>
      </c>
      <c r="J123">
        <v>1</v>
      </c>
      <c r="K123">
        <v>0</v>
      </c>
      <c r="M123">
        <v>2.8</v>
      </c>
      <c r="O123">
        <v>7.7922077922077921</v>
      </c>
      <c r="P123">
        <v>780</v>
      </c>
      <c r="Q123" t="s">
        <v>62</v>
      </c>
      <c r="T123">
        <v>1.3</v>
      </c>
      <c r="U123">
        <v>64.285714285714292</v>
      </c>
    </row>
    <row r="124" spans="1:21" x14ac:dyDescent="0.2">
      <c r="A124" t="s">
        <v>110</v>
      </c>
      <c r="B124" t="s">
        <v>89</v>
      </c>
      <c r="C124" t="s">
        <v>111</v>
      </c>
      <c r="D124">
        <v>60</v>
      </c>
      <c r="E124">
        <v>600</v>
      </c>
      <c r="F124">
        <v>20</v>
      </c>
      <c r="G124" t="s">
        <v>51</v>
      </c>
      <c r="I124">
        <v>140</v>
      </c>
      <c r="J124">
        <v>0.6</v>
      </c>
      <c r="K124">
        <v>0.4</v>
      </c>
      <c r="M124">
        <v>2.4</v>
      </c>
      <c r="O124">
        <v>10</v>
      </c>
      <c r="P124">
        <v>840</v>
      </c>
      <c r="Q124" t="s">
        <v>62</v>
      </c>
      <c r="T124">
        <v>1.4</v>
      </c>
      <c r="U124">
        <v>58.333333333333336</v>
      </c>
    </row>
    <row r="125" spans="1:21" x14ac:dyDescent="0.2">
      <c r="A125" t="s">
        <v>180</v>
      </c>
      <c r="B125" t="s">
        <v>89</v>
      </c>
      <c r="D125">
        <v>63</v>
      </c>
      <c r="E125">
        <v>550</v>
      </c>
      <c r="F125">
        <v>23</v>
      </c>
      <c r="G125" t="s">
        <v>51</v>
      </c>
      <c r="I125">
        <v>100</v>
      </c>
      <c r="J125">
        <v>0.5</v>
      </c>
      <c r="K125">
        <v>0.5</v>
      </c>
      <c r="M125">
        <v>2.2999999999999998</v>
      </c>
      <c r="O125">
        <v>8.7301587301587293</v>
      </c>
      <c r="P125">
        <v>770</v>
      </c>
      <c r="T125">
        <v>1.4</v>
      </c>
      <c r="U125">
        <v>43.478260869565219</v>
      </c>
    </row>
    <row r="126" spans="1:21" x14ac:dyDescent="0.2">
      <c r="A126" t="s">
        <v>194</v>
      </c>
      <c r="B126" t="s">
        <v>89</v>
      </c>
      <c r="D126">
        <v>65</v>
      </c>
      <c r="E126">
        <v>500</v>
      </c>
      <c r="G126" t="s">
        <v>51</v>
      </c>
      <c r="J126">
        <v>0.25</v>
      </c>
      <c r="K126">
        <v>0.75</v>
      </c>
      <c r="M126">
        <v>2.0499999999999998</v>
      </c>
      <c r="O126">
        <v>7.6923076923076925</v>
      </c>
      <c r="P126">
        <v>700</v>
      </c>
      <c r="T126">
        <v>1.4</v>
      </c>
      <c r="U126">
        <v>0</v>
      </c>
    </row>
    <row r="127" spans="1:21" x14ac:dyDescent="0.2">
      <c r="A127" t="s">
        <v>210</v>
      </c>
      <c r="B127" t="s">
        <v>89</v>
      </c>
      <c r="D127">
        <v>60</v>
      </c>
      <c r="E127">
        <v>475</v>
      </c>
      <c r="G127" t="s">
        <v>51</v>
      </c>
      <c r="K127">
        <v>1</v>
      </c>
      <c r="M127">
        <v>1.8</v>
      </c>
      <c r="O127">
        <v>7.916666666666667</v>
      </c>
      <c r="P127">
        <v>665</v>
      </c>
      <c r="T127">
        <v>1.4</v>
      </c>
      <c r="U127">
        <v>0</v>
      </c>
    </row>
    <row r="128" spans="1:21" x14ac:dyDescent="0.2">
      <c r="A128" t="s">
        <v>759</v>
      </c>
      <c r="B128" t="s">
        <v>760</v>
      </c>
      <c r="C128" t="s">
        <v>760</v>
      </c>
      <c r="D128">
        <v>70</v>
      </c>
      <c r="E128">
        <v>500</v>
      </c>
      <c r="F128">
        <v>27</v>
      </c>
      <c r="G128" t="s">
        <v>51</v>
      </c>
      <c r="J128">
        <v>0.7</v>
      </c>
      <c r="K128">
        <v>0.30000000000000004</v>
      </c>
      <c r="M128">
        <v>2.5</v>
      </c>
      <c r="N128" t="s">
        <v>761</v>
      </c>
      <c r="O128">
        <v>7.1428571428571432</v>
      </c>
      <c r="P128">
        <v>700</v>
      </c>
      <c r="T128">
        <v>1.4</v>
      </c>
      <c r="U128">
        <v>0</v>
      </c>
    </row>
    <row r="129" spans="1:21" x14ac:dyDescent="0.2">
      <c r="A129" t="s">
        <v>116</v>
      </c>
      <c r="B129" t="s">
        <v>74</v>
      </c>
      <c r="C129" t="s">
        <v>75</v>
      </c>
      <c r="D129">
        <v>70</v>
      </c>
      <c r="E129">
        <v>650</v>
      </c>
      <c r="F129">
        <v>34</v>
      </c>
      <c r="G129" t="s">
        <v>51</v>
      </c>
      <c r="I129">
        <v>140</v>
      </c>
      <c r="K129">
        <v>1</v>
      </c>
      <c r="M129">
        <v>1.8</v>
      </c>
      <c r="O129">
        <v>9.2857142857142865</v>
      </c>
      <c r="P129">
        <v>910</v>
      </c>
      <c r="T129">
        <v>1.4</v>
      </c>
      <c r="U129">
        <v>77.777777777777771</v>
      </c>
    </row>
    <row r="130" spans="1:21" x14ac:dyDescent="0.2">
      <c r="A130" t="s">
        <v>56</v>
      </c>
      <c r="B130" t="s">
        <v>57</v>
      </c>
      <c r="C130" t="s">
        <v>57</v>
      </c>
      <c r="D130">
        <v>60</v>
      </c>
      <c r="E130">
        <v>650</v>
      </c>
      <c r="F130">
        <v>22</v>
      </c>
      <c r="G130" t="s">
        <v>51</v>
      </c>
      <c r="I130">
        <v>80</v>
      </c>
      <c r="J130">
        <v>0.25</v>
      </c>
      <c r="K130">
        <v>0.75</v>
      </c>
      <c r="M130">
        <v>2.0499999999999998</v>
      </c>
      <c r="O130">
        <v>10.833333333333334</v>
      </c>
      <c r="P130">
        <v>910</v>
      </c>
      <c r="T130">
        <v>1.4</v>
      </c>
      <c r="U130">
        <v>39.024390243902445</v>
      </c>
    </row>
    <row r="131" spans="1:21" x14ac:dyDescent="0.2">
      <c r="A131" t="s">
        <v>185</v>
      </c>
      <c r="B131" t="s">
        <v>89</v>
      </c>
      <c r="D131">
        <v>56</v>
      </c>
      <c r="E131">
        <v>525</v>
      </c>
      <c r="F131">
        <v>23</v>
      </c>
      <c r="G131" t="s">
        <v>51</v>
      </c>
      <c r="I131">
        <v>113</v>
      </c>
      <c r="J131">
        <v>0.65</v>
      </c>
      <c r="K131">
        <v>0.35</v>
      </c>
      <c r="M131">
        <v>2.4499999999999997</v>
      </c>
      <c r="O131">
        <v>9.375</v>
      </c>
      <c r="P131">
        <v>735</v>
      </c>
      <c r="Q131" t="s">
        <v>186</v>
      </c>
      <c r="R131">
        <v>8</v>
      </c>
      <c r="T131">
        <v>1.4</v>
      </c>
      <c r="U131">
        <v>46.122448979591844</v>
      </c>
    </row>
    <row r="132" spans="1:21" x14ac:dyDescent="0.2">
      <c r="A132" t="s">
        <v>81</v>
      </c>
      <c r="B132" t="s">
        <v>68</v>
      </c>
      <c r="C132" t="s">
        <v>68</v>
      </c>
      <c r="D132">
        <v>56</v>
      </c>
      <c r="E132">
        <v>650</v>
      </c>
      <c r="F132">
        <v>21</v>
      </c>
      <c r="G132" t="s">
        <v>51</v>
      </c>
      <c r="I132">
        <v>100</v>
      </c>
      <c r="J132">
        <v>0.1</v>
      </c>
      <c r="K132">
        <v>0.9</v>
      </c>
      <c r="M132">
        <v>1.9000000000000001</v>
      </c>
      <c r="O132">
        <v>11.607142857142858</v>
      </c>
      <c r="P132">
        <v>910</v>
      </c>
      <c r="Q132" t="s">
        <v>66</v>
      </c>
      <c r="T132">
        <v>1.4</v>
      </c>
      <c r="U132">
        <v>52.631578947368418</v>
      </c>
    </row>
    <row r="133" spans="1:21" x14ac:dyDescent="0.2">
      <c r="A133" t="s">
        <v>81</v>
      </c>
      <c r="B133" t="s">
        <v>61</v>
      </c>
      <c r="C133" t="s">
        <v>61</v>
      </c>
      <c r="D133">
        <v>63</v>
      </c>
      <c r="E133">
        <v>600</v>
      </c>
      <c r="F133">
        <v>21</v>
      </c>
      <c r="G133" t="s">
        <v>51</v>
      </c>
      <c r="I133">
        <v>120</v>
      </c>
      <c r="J133">
        <v>0.15</v>
      </c>
      <c r="K133">
        <v>0.85</v>
      </c>
      <c r="M133">
        <v>1.95</v>
      </c>
      <c r="O133">
        <v>9.5238095238095237</v>
      </c>
      <c r="P133">
        <v>840</v>
      </c>
      <c r="T133">
        <v>1.4</v>
      </c>
      <c r="U133">
        <v>61.53846153846154</v>
      </c>
    </row>
    <row r="134" spans="1:21" x14ac:dyDescent="0.2">
      <c r="A134" t="s">
        <v>108</v>
      </c>
      <c r="B134" t="s">
        <v>74</v>
      </c>
      <c r="C134" t="s">
        <v>75</v>
      </c>
      <c r="D134">
        <v>91</v>
      </c>
      <c r="E134">
        <v>650</v>
      </c>
      <c r="F134">
        <v>24</v>
      </c>
      <c r="G134" t="s">
        <v>51</v>
      </c>
      <c r="I134">
        <v>250</v>
      </c>
      <c r="J134">
        <v>1</v>
      </c>
      <c r="K134">
        <v>0</v>
      </c>
      <c r="M134">
        <v>2.8</v>
      </c>
      <c r="O134">
        <v>7.1428571428571432</v>
      </c>
      <c r="P134">
        <v>845</v>
      </c>
      <c r="T134">
        <v>1.3</v>
      </c>
      <c r="U134">
        <v>89.285714285714292</v>
      </c>
    </row>
    <row r="135" spans="1:21" x14ac:dyDescent="0.2">
      <c r="A135" t="s">
        <v>157</v>
      </c>
      <c r="B135" t="s">
        <v>79</v>
      </c>
      <c r="C135" t="s">
        <v>80</v>
      </c>
      <c r="D135">
        <v>63</v>
      </c>
      <c r="E135">
        <v>600</v>
      </c>
      <c r="F135">
        <v>27</v>
      </c>
      <c r="G135" t="s">
        <v>51</v>
      </c>
      <c r="I135">
        <v>180</v>
      </c>
      <c r="J135">
        <v>0.5</v>
      </c>
      <c r="K135">
        <v>0.5</v>
      </c>
      <c r="M135">
        <v>2.2999999999999998</v>
      </c>
      <c r="O135">
        <v>9.5238095238095237</v>
      </c>
      <c r="P135">
        <v>840</v>
      </c>
      <c r="Q135" t="s">
        <v>62</v>
      </c>
      <c r="T135">
        <v>1.4</v>
      </c>
      <c r="U135">
        <v>78.260869565217391</v>
      </c>
    </row>
    <row r="136" spans="1:21" x14ac:dyDescent="0.2">
      <c r="A136" t="s">
        <v>221</v>
      </c>
      <c r="B136" t="s">
        <v>89</v>
      </c>
      <c r="D136">
        <v>70</v>
      </c>
      <c r="E136">
        <v>400</v>
      </c>
      <c r="G136" t="s">
        <v>51</v>
      </c>
      <c r="I136">
        <v>120</v>
      </c>
      <c r="J136">
        <v>0.3</v>
      </c>
      <c r="K136">
        <v>0.7</v>
      </c>
      <c r="M136">
        <v>2.1</v>
      </c>
      <c r="O136">
        <v>5.7142857142857144</v>
      </c>
      <c r="P136">
        <v>560</v>
      </c>
      <c r="T136">
        <v>1.4</v>
      </c>
      <c r="U136">
        <v>57.142857142857139</v>
      </c>
    </row>
    <row r="137" spans="1:21" x14ac:dyDescent="0.2">
      <c r="A137" t="s">
        <v>86</v>
      </c>
      <c r="B137" t="s">
        <v>50</v>
      </c>
      <c r="C137" t="s">
        <v>50</v>
      </c>
      <c r="D137">
        <v>63</v>
      </c>
      <c r="E137">
        <v>680</v>
      </c>
      <c r="F137">
        <v>24</v>
      </c>
      <c r="G137" t="s">
        <v>51</v>
      </c>
      <c r="I137">
        <v>150</v>
      </c>
      <c r="J137">
        <v>0.35</v>
      </c>
      <c r="K137">
        <v>0.65</v>
      </c>
      <c r="M137">
        <v>2.15</v>
      </c>
      <c r="O137">
        <v>10.793650793650794</v>
      </c>
      <c r="P137">
        <v>952</v>
      </c>
      <c r="Q137" t="s">
        <v>77</v>
      </c>
      <c r="T137">
        <v>1.4</v>
      </c>
      <c r="U137">
        <v>69.767441860465112</v>
      </c>
    </row>
    <row r="138" spans="1:21" x14ac:dyDescent="0.2">
      <c r="A138" t="s">
        <v>255</v>
      </c>
      <c r="B138" t="s">
        <v>134</v>
      </c>
      <c r="C138" t="s">
        <v>135</v>
      </c>
      <c r="D138">
        <v>56</v>
      </c>
      <c r="E138">
        <v>600</v>
      </c>
      <c r="F138">
        <v>25</v>
      </c>
      <c r="G138" t="s">
        <v>51</v>
      </c>
      <c r="H138" t="s">
        <v>51</v>
      </c>
      <c r="K138">
        <v>1</v>
      </c>
      <c r="M138">
        <v>1.8</v>
      </c>
      <c r="N138" t="s">
        <v>762</v>
      </c>
      <c r="O138">
        <v>10.714285714285714</v>
      </c>
      <c r="P138">
        <v>840</v>
      </c>
      <c r="T138">
        <v>1.4</v>
      </c>
      <c r="U138">
        <v>0</v>
      </c>
    </row>
    <row r="139" spans="1:21" x14ac:dyDescent="0.2">
      <c r="A139" t="s">
        <v>256</v>
      </c>
      <c r="B139" t="s">
        <v>134</v>
      </c>
      <c r="C139" t="s">
        <v>135</v>
      </c>
      <c r="D139">
        <v>56</v>
      </c>
      <c r="E139">
        <v>500</v>
      </c>
      <c r="F139">
        <v>20</v>
      </c>
      <c r="G139" t="s">
        <v>51</v>
      </c>
      <c r="J139">
        <v>0.45</v>
      </c>
      <c r="K139">
        <v>0.55000000000000004</v>
      </c>
      <c r="M139">
        <v>2.25</v>
      </c>
      <c r="N139" t="s">
        <v>762</v>
      </c>
      <c r="O139">
        <v>8.9285714285714288</v>
      </c>
      <c r="P139">
        <v>700</v>
      </c>
      <c r="T139">
        <v>1.4</v>
      </c>
      <c r="U139">
        <v>0</v>
      </c>
    </row>
    <row r="140" spans="1:21" x14ac:dyDescent="0.2">
      <c r="A140" t="s">
        <v>257</v>
      </c>
      <c r="B140" t="s">
        <v>134</v>
      </c>
      <c r="C140" t="s">
        <v>135</v>
      </c>
      <c r="D140">
        <v>56</v>
      </c>
      <c r="E140">
        <v>550</v>
      </c>
      <c r="F140">
        <v>19</v>
      </c>
      <c r="G140" t="s">
        <v>51</v>
      </c>
      <c r="H140" t="s">
        <v>51</v>
      </c>
      <c r="I140">
        <v>120</v>
      </c>
      <c r="J140">
        <v>0.2</v>
      </c>
      <c r="K140">
        <v>0.8</v>
      </c>
      <c r="L140">
        <v>0.03</v>
      </c>
      <c r="M140">
        <v>2</v>
      </c>
      <c r="N140" t="s">
        <v>762</v>
      </c>
      <c r="O140">
        <v>9.8214285714285712</v>
      </c>
      <c r="P140">
        <v>770</v>
      </c>
      <c r="T140">
        <v>1.4</v>
      </c>
      <c r="U140">
        <v>60</v>
      </c>
    </row>
    <row r="141" spans="1:21" x14ac:dyDescent="0.2">
      <c r="A141" t="s">
        <v>271</v>
      </c>
      <c r="B141" t="s">
        <v>272</v>
      </c>
      <c r="C141" t="s">
        <v>272</v>
      </c>
      <c r="D141">
        <v>56</v>
      </c>
      <c r="F141">
        <v>25</v>
      </c>
      <c r="K141">
        <v>1</v>
      </c>
      <c r="M141">
        <v>1.8</v>
      </c>
      <c r="O141">
        <v>0</v>
      </c>
      <c r="P141">
        <v>0</v>
      </c>
      <c r="T141">
        <v>1.4</v>
      </c>
      <c r="U141">
        <v>0</v>
      </c>
    </row>
    <row r="142" spans="1:21" x14ac:dyDescent="0.2">
      <c r="A142" t="s">
        <v>158</v>
      </c>
      <c r="B142" t="s">
        <v>139</v>
      </c>
      <c r="D142">
        <v>65</v>
      </c>
      <c r="E142">
        <v>600</v>
      </c>
      <c r="F142">
        <v>25</v>
      </c>
      <c r="G142" t="s">
        <v>51</v>
      </c>
      <c r="I142">
        <v>130</v>
      </c>
      <c r="J142">
        <v>0.4</v>
      </c>
      <c r="K142">
        <v>0.6</v>
      </c>
      <c r="M142">
        <v>2.2000000000000002</v>
      </c>
      <c r="O142">
        <v>9.2307692307692299</v>
      </c>
      <c r="P142">
        <v>840</v>
      </c>
      <c r="T142">
        <v>1.4</v>
      </c>
      <c r="U142">
        <v>59.090909090909086</v>
      </c>
    </row>
    <row r="143" spans="1:21" x14ac:dyDescent="0.2">
      <c r="A143" t="s">
        <v>234</v>
      </c>
      <c r="B143" t="s">
        <v>68</v>
      </c>
      <c r="C143" t="s">
        <v>69</v>
      </c>
      <c r="D143">
        <v>70</v>
      </c>
      <c r="E143">
        <v>700</v>
      </c>
      <c r="F143">
        <v>28</v>
      </c>
      <c r="G143" t="s">
        <v>51</v>
      </c>
      <c r="I143">
        <v>160</v>
      </c>
      <c r="J143">
        <v>0.4</v>
      </c>
      <c r="K143">
        <v>0.6</v>
      </c>
      <c r="M143">
        <v>2.2000000000000002</v>
      </c>
      <c r="O143">
        <v>10</v>
      </c>
      <c r="P143">
        <v>980</v>
      </c>
      <c r="T143">
        <v>1.4</v>
      </c>
      <c r="U143">
        <v>72.72727272727272</v>
      </c>
    </row>
    <row r="144" spans="1:21" x14ac:dyDescent="0.2">
      <c r="A144" t="s">
        <v>258</v>
      </c>
      <c r="B144" t="s">
        <v>134</v>
      </c>
      <c r="C144" t="s">
        <v>135</v>
      </c>
      <c r="D144">
        <v>49</v>
      </c>
      <c r="E144">
        <v>500</v>
      </c>
      <c r="F144">
        <v>20</v>
      </c>
      <c r="G144" t="s">
        <v>51</v>
      </c>
      <c r="J144">
        <v>0.1</v>
      </c>
      <c r="K144">
        <v>0.9</v>
      </c>
      <c r="M144">
        <v>1.9000000000000001</v>
      </c>
      <c r="O144">
        <v>10.204081632653059</v>
      </c>
      <c r="P144">
        <v>750</v>
      </c>
      <c r="T144">
        <v>1.5</v>
      </c>
      <c r="U144">
        <v>0</v>
      </c>
    </row>
    <row r="145" spans="1:21" x14ac:dyDescent="0.2">
      <c r="A145" t="s">
        <v>159</v>
      </c>
      <c r="B145" t="s">
        <v>89</v>
      </c>
      <c r="D145">
        <v>70</v>
      </c>
      <c r="E145">
        <v>600</v>
      </c>
      <c r="F145">
        <v>1</v>
      </c>
      <c r="G145" t="s">
        <v>51</v>
      </c>
      <c r="I145">
        <v>190</v>
      </c>
      <c r="J145">
        <v>0.7</v>
      </c>
      <c r="K145">
        <v>0.30000000000000004</v>
      </c>
      <c r="M145">
        <v>2.5</v>
      </c>
      <c r="O145">
        <v>8.5714285714285712</v>
      </c>
      <c r="P145">
        <v>840</v>
      </c>
      <c r="Q145" t="s">
        <v>62</v>
      </c>
      <c r="T145">
        <v>1.4</v>
      </c>
      <c r="U145">
        <v>76</v>
      </c>
    </row>
    <row r="146" spans="1:21" x14ac:dyDescent="0.2">
      <c r="A146" t="s">
        <v>195</v>
      </c>
      <c r="B146" t="s">
        <v>89</v>
      </c>
      <c r="D146">
        <v>60</v>
      </c>
      <c r="E146">
        <v>500</v>
      </c>
      <c r="G146" t="s">
        <v>51</v>
      </c>
      <c r="I146">
        <v>140</v>
      </c>
      <c r="J146">
        <v>0.3</v>
      </c>
      <c r="K146">
        <v>0.7</v>
      </c>
      <c r="M146">
        <v>2.1</v>
      </c>
      <c r="O146">
        <v>8.3333333333333339</v>
      </c>
      <c r="P146">
        <v>700</v>
      </c>
      <c r="T146">
        <v>1.4</v>
      </c>
      <c r="U146">
        <v>66.666666666666657</v>
      </c>
    </row>
    <row r="147" spans="1:21" x14ac:dyDescent="0.2">
      <c r="A147" t="s">
        <v>231</v>
      </c>
      <c r="B147" t="s">
        <v>89</v>
      </c>
      <c r="D147">
        <v>50</v>
      </c>
      <c r="E147">
        <v>450</v>
      </c>
      <c r="G147" t="s">
        <v>51</v>
      </c>
      <c r="J147">
        <v>0.2</v>
      </c>
      <c r="K147">
        <v>0.8</v>
      </c>
      <c r="M147">
        <v>2</v>
      </c>
      <c r="O147">
        <v>9</v>
      </c>
      <c r="P147">
        <v>675</v>
      </c>
      <c r="Q147" t="s">
        <v>186</v>
      </c>
      <c r="T147">
        <v>1.5</v>
      </c>
      <c r="U147">
        <v>0</v>
      </c>
    </row>
    <row r="148" spans="1:21" x14ac:dyDescent="0.2">
      <c r="A148" t="s">
        <v>235</v>
      </c>
      <c r="B148" t="s">
        <v>68</v>
      </c>
      <c r="C148" t="s">
        <v>69</v>
      </c>
      <c r="D148">
        <v>70</v>
      </c>
      <c r="E148">
        <v>700</v>
      </c>
      <c r="F148">
        <v>33</v>
      </c>
      <c r="G148" t="s">
        <v>51</v>
      </c>
      <c r="I148">
        <v>140</v>
      </c>
      <c r="K148">
        <v>1</v>
      </c>
      <c r="M148">
        <v>1.8</v>
      </c>
      <c r="O148">
        <v>10</v>
      </c>
      <c r="P148">
        <v>980</v>
      </c>
      <c r="T148">
        <v>1.4</v>
      </c>
      <c r="U148">
        <v>77.777777777777771</v>
      </c>
    </row>
    <row r="149" spans="1:21" x14ac:dyDescent="0.2">
      <c r="A149" t="s">
        <v>109</v>
      </c>
      <c r="B149" t="s">
        <v>61</v>
      </c>
      <c r="C149" t="s">
        <v>61</v>
      </c>
      <c r="D149">
        <v>77</v>
      </c>
      <c r="E149">
        <v>650</v>
      </c>
      <c r="F149">
        <v>21</v>
      </c>
      <c r="G149" t="s">
        <v>8</v>
      </c>
      <c r="I149">
        <v>120</v>
      </c>
      <c r="J149">
        <v>0.75</v>
      </c>
      <c r="K149">
        <v>0.25</v>
      </c>
      <c r="M149">
        <v>2.5499999999999998</v>
      </c>
      <c r="O149">
        <v>8.4415584415584419</v>
      </c>
      <c r="P149">
        <v>845</v>
      </c>
      <c r="T149">
        <v>1.3</v>
      </c>
      <c r="U149">
        <v>47.058823529411768</v>
      </c>
    </row>
    <row r="150" spans="1:21" x14ac:dyDescent="0.2">
      <c r="A150" t="s">
        <v>114</v>
      </c>
      <c r="B150" t="s">
        <v>61</v>
      </c>
      <c r="C150" t="s">
        <v>61</v>
      </c>
      <c r="D150">
        <v>63</v>
      </c>
      <c r="E150">
        <v>650</v>
      </c>
      <c r="F150">
        <v>17</v>
      </c>
      <c r="G150" t="s">
        <v>8</v>
      </c>
      <c r="I150">
        <v>100</v>
      </c>
      <c r="J150">
        <v>0.5</v>
      </c>
      <c r="K150">
        <v>0.5</v>
      </c>
      <c r="M150">
        <v>2.2999999999999998</v>
      </c>
      <c r="O150">
        <v>10.317460317460318</v>
      </c>
      <c r="P150">
        <v>910</v>
      </c>
      <c r="Q150" t="s">
        <v>66</v>
      </c>
      <c r="T150">
        <v>1.4</v>
      </c>
      <c r="U150">
        <v>43.478260869565219</v>
      </c>
    </row>
    <row r="151" spans="1:21" x14ac:dyDescent="0.2">
      <c r="A151" t="s">
        <v>122</v>
      </c>
      <c r="B151" t="s">
        <v>89</v>
      </c>
      <c r="C151" t="s">
        <v>123</v>
      </c>
      <c r="D151">
        <v>65</v>
      </c>
      <c r="E151">
        <v>650</v>
      </c>
      <c r="G151" t="s">
        <v>51</v>
      </c>
      <c r="I151">
        <v>110</v>
      </c>
      <c r="J151">
        <v>0.5</v>
      </c>
      <c r="K151">
        <v>0.5</v>
      </c>
      <c r="M151">
        <v>2.2999999999999998</v>
      </c>
      <c r="O151">
        <v>10</v>
      </c>
      <c r="P151">
        <v>910</v>
      </c>
      <c r="T151">
        <v>1.4</v>
      </c>
      <c r="U151">
        <v>47.826086956521742</v>
      </c>
    </row>
    <row r="152" spans="1:21" x14ac:dyDescent="0.2">
      <c r="A152" t="s">
        <v>117</v>
      </c>
      <c r="B152" t="s">
        <v>74</v>
      </c>
      <c r="C152" t="s">
        <v>75</v>
      </c>
      <c r="D152">
        <v>63</v>
      </c>
      <c r="E152">
        <v>650</v>
      </c>
      <c r="F152">
        <v>35</v>
      </c>
      <c r="G152" t="s">
        <v>51</v>
      </c>
      <c r="K152">
        <v>1</v>
      </c>
      <c r="M152">
        <v>1.8</v>
      </c>
      <c r="O152">
        <v>10.317460317460318</v>
      </c>
      <c r="P152">
        <v>910</v>
      </c>
      <c r="T152">
        <v>1.4</v>
      </c>
      <c r="U152">
        <v>0</v>
      </c>
    </row>
    <row r="153" spans="1:21" x14ac:dyDescent="0.2">
      <c r="A153" t="s">
        <v>205</v>
      </c>
      <c r="B153" t="s">
        <v>75</v>
      </c>
      <c r="C153" t="s">
        <v>75</v>
      </c>
      <c r="D153">
        <v>56</v>
      </c>
      <c r="E153">
        <v>500</v>
      </c>
      <c r="F153">
        <v>38</v>
      </c>
      <c r="G153" t="s">
        <v>51</v>
      </c>
      <c r="J153">
        <v>0.2</v>
      </c>
      <c r="K153">
        <v>0.8</v>
      </c>
      <c r="M153">
        <v>2</v>
      </c>
      <c r="O153">
        <v>8.9285714285714288</v>
      </c>
      <c r="P153">
        <v>700</v>
      </c>
      <c r="T153">
        <v>1.4</v>
      </c>
      <c r="U153">
        <v>0</v>
      </c>
    </row>
    <row r="154" spans="1:21" x14ac:dyDescent="0.2">
      <c r="A154" t="s">
        <v>259</v>
      </c>
      <c r="B154" t="s">
        <v>134</v>
      </c>
      <c r="C154" t="s">
        <v>135</v>
      </c>
      <c r="D154">
        <v>49</v>
      </c>
      <c r="E154">
        <v>600</v>
      </c>
      <c r="F154">
        <v>22</v>
      </c>
      <c r="G154" t="s">
        <v>51</v>
      </c>
      <c r="J154">
        <v>0.2</v>
      </c>
      <c r="K154">
        <v>0.8</v>
      </c>
      <c r="M154">
        <v>2</v>
      </c>
      <c r="O154">
        <v>12.244897959183673</v>
      </c>
      <c r="P154">
        <v>900</v>
      </c>
      <c r="T154">
        <v>1.5</v>
      </c>
      <c r="U154">
        <v>0</v>
      </c>
    </row>
    <row r="155" spans="1:21" x14ac:dyDescent="0.2">
      <c r="A155" t="s">
        <v>230</v>
      </c>
      <c r="B155" t="s">
        <v>57</v>
      </c>
      <c r="C155" t="s">
        <v>57</v>
      </c>
      <c r="D155">
        <v>55</v>
      </c>
      <c r="E155">
        <v>450</v>
      </c>
      <c r="F155">
        <v>24</v>
      </c>
      <c r="G155" t="s">
        <v>51</v>
      </c>
      <c r="I155">
        <v>90</v>
      </c>
      <c r="J155">
        <v>0.4</v>
      </c>
      <c r="K155">
        <v>0.6</v>
      </c>
      <c r="M155">
        <v>2.2000000000000002</v>
      </c>
      <c r="O155">
        <v>8.1818181818181817</v>
      </c>
      <c r="P155">
        <v>675</v>
      </c>
      <c r="T155">
        <v>1.5</v>
      </c>
      <c r="U155">
        <v>40.909090909090907</v>
      </c>
    </row>
    <row r="156" spans="1:21" x14ac:dyDescent="0.2">
      <c r="A156" t="s">
        <v>189</v>
      </c>
      <c r="B156" t="s">
        <v>68</v>
      </c>
      <c r="C156" t="s">
        <v>68</v>
      </c>
      <c r="D156">
        <v>63</v>
      </c>
      <c r="E156">
        <v>450</v>
      </c>
      <c r="F156">
        <v>21</v>
      </c>
      <c r="G156" t="s">
        <v>51</v>
      </c>
      <c r="K156">
        <v>1</v>
      </c>
      <c r="M156">
        <v>1.8</v>
      </c>
      <c r="O156">
        <v>7.1428571428571432</v>
      </c>
      <c r="P156">
        <v>630</v>
      </c>
      <c r="Q156" t="s">
        <v>190</v>
      </c>
      <c r="T156">
        <v>1.4</v>
      </c>
      <c r="U156">
        <v>0</v>
      </c>
    </row>
    <row r="157" spans="1:21" x14ac:dyDescent="0.2">
      <c r="A157" t="s">
        <v>245</v>
      </c>
      <c r="B157" t="s">
        <v>68</v>
      </c>
      <c r="C157" t="s">
        <v>246</v>
      </c>
      <c r="D157">
        <v>63</v>
      </c>
      <c r="E157">
        <v>700</v>
      </c>
      <c r="F157">
        <v>20</v>
      </c>
      <c r="G157" t="s">
        <v>51</v>
      </c>
      <c r="J157">
        <v>0.2</v>
      </c>
      <c r="K157">
        <v>0.8</v>
      </c>
      <c r="M157">
        <v>2</v>
      </c>
      <c r="O157">
        <v>11.111111111111112</v>
      </c>
      <c r="P157">
        <v>980</v>
      </c>
      <c r="T157">
        <v>1.4</v>
      </c>
      <c r="U157">
        <v>0</v>
      </c>
    </row>
    <row r="158" spans="1:21" x14ac:dyDescent="0.2">
      <c r="A158" t="s">
        <v>94</v>
      </c>
      <c r="B158" t="s">
        <v>68</v>
      </c>
      <c r="C158" t="s">
        <v>95</v>
      </c>
      <c r="D158">
        <v>56</v>
      </c>
      <c r="E158">
        <v>750</v>
      </c>
      <c r="F158">
        <v>25</v>
      </c>
      <c r="G158" t="s">
        <v>51</v>
      </c>
      <c r="K158">
        <v>1</v>
      </c>
      <c r="M158">
        <v>1.8</v>
      </c>
      <c r="O158">
        <v>13.392857142857142</v>
      </c>
      <c r="P158">
        <v>1050</v>
      </c>
      <c r="T158">
        <v>1.4</v>
      </c>
      <c r="U158">
        <v>0</v>
      </c>
    </row>
    <row r="159" spans="1:21" x14ac:dyDescent="0.2">
      <c r="A159" t="s">
        <v>115</v>
      </c>
      <c r="B159" t="s">
        <v>50</v>
      </c>
      <c r="C159" t="s">
        <v>50</v>
      </c>
      <c r="D159">
        <v>77</v>
      </c>
      <c r="E159">
        <v>650</v>
      </c>
      <c r="F159">
        <v>30</v>
      </c>
      <c r="G159" t="s">
        <v>51</v>
      </c>
      <c r="I159">
        <v>150</v>
      </c>
      <c r="J159">
        <v>0.6</v>
      </c>
      <c r="K159">
        <v>0.4</v>
      </c>
      <c r="M159">
        <v>2.4</v>
      </c>
      <c r="O159">
        <v>8.4415584415584419</v>
      </c>
      <c r="P159">
        <v>845</v>
      </c>
      <c r="T159">
        <v>1.3</v>
      </c>
      <c r="U159">
        <v>62.5</v>
      </c>
    </row>
    <row r="160" spans="1:21" x14ac:dyDescent="0.2">
      <c r="A160" t="s">
        <v>225</v>
      </c>
      <c r="B160" t="s">
        <v>50</v>
      </c>
      <c r="C160" t="s">
        <v>50</v>
      </c>
      <c r="D160">
        <v>63</v>
      </c>
      <c r="E160">
        <v>650</v>
      </c>
      <c r="F160">
        <v>28</v>
      </c>
      <c r="G160" t="s">
        <v>51</v>
      </c>
      <c r="I160">
        <v>150</v>
      </c>
      <c r="J160">
        <v>0.6</v>
      </c>
      <c r="K160">
        <v>0.4</v>
      </c>
      <c r="M160">
        <v>2.4</v>
      </c>
      <c r="O160">
        <v>10.317460317460318</v>
      </c>
      <c r="P160">
        <v>910</v>
      </c>
      <c r="T160">
        <v>1.4</v>
      </c>
      <c r="U160">
        <v>62.5</v>
      </c>
    </row>
    <row r="161" spans="1:21" x14ac:dyDescent="0.2">
      <c r="A161" t="s">
        <v>198</v>
      </c>
      <c r="B161" t="s">
        <v>50</v>
      </c>
      <c r="C161" t="s">
        <v>50</v>
      </c>
      <c r="D161">
        <v>63</v>
      </c>
      <c r="E161">
        <v>500</v>
      </c>
      <c r="F161">
        <v>28</v>
      </c>
      <c r="G161" t="s">
        <v>51</v>
      </c>
      <c r="J161">
        <v>0.35</v>
      </c>
      <c r="K161">
        <v>0.65</v>
      </c>
      <c r="M161">
        <v>2.15</v>
      </c>
      <c r="O161">
        <v>7.9365079365079358</v>
      </c>
      <c r="P161">
        <v>700</v>
      </c>
      <c r="T161">
        <v>1.4</v>
      </c>
      <c r="U161">
        <v>0</v>
      </c>
    </row>
    <row r="162" spans="1:21" x14ac:dyDescent="0.2">
      <c r="A162" t="s">
        <v>58</v>
      </c>
      <c r="B162" t="s">
        <v>50</v>
      </c>
      <c r="C162" t="s">
        <v>50</v>
      </c>
      <c r="D162">
        <v>77</v>
      </c>
      <c r="E162">
        <v>800</v>
      </c>
      <c r="F162">
        <v>26</v>
      </c>
      <c r="G162" t="s">
        <v>51</v>
      </c>
      <c r="J162">
        <v>0.7</v>
      </c>
      <c r="K162">
        <v>0.30000000000000004</v>
      </c>
      <c r="M162">
        <v>2.5</v>
      </c>
      <c r="O162">
        <v>10.38961038961039</v>
      </c>
      <c r="P162">
        <v>1040</v>
      </c>
      <c r="T162">
        <v>1.3</v>
      </c>
      <c r="U162">
        <v>0</v>
      </c>
    </row>
    <row r="163" spans="1:21" x14ac:dyDescent="0.2">
      <c r="A163" t="s">
        <v>184</v>
      </c>
      <c r="B163" t="s">
        <v>89</v>
      </c>
      <c r="D163">
        <v>65</v>
      </c>
      <c r="E163">
        <v>525</v>
      </c>
      <c r="G163" t="s">
        <v>51</v>
      </c>
      <c r="I163">
        <v>140</v>
      </c>
      <c r="J163">
        <v>0.3</v>
      </c>
      <c r="K163">
        <v>0.7</v>
      </c>
      <c r="M163">
        <v>2.1</v>
      </c>
      <c r="O163">
        <v>8.0769230769230766</v>
      </c>
      <c r="P163">
        <v>735</v>
      </c>
      <c r="T163">
        <v>1.4</v>
      </c>
      <c r="U163">
        <v>66.666666666666657</v>
      </c>
    </row>
    <row r="164" spans="1:21" x14ac:dyDescent="0.2">
      <c r="A164" t="s">
        <v>260</v>
      </c>
      <c r="B164" t="s">
        <v>134</v>
      </c>
      <c r="C164" t="s">
        <v>135</v>
      </c>
      <c r="D164">
        <v>56</v>
      </c>
      <c r="E164">
        <v>600</v>
      </c>
      <c r="F164">
        <v>20</v>
      </c>
      <c r="G164" t="s">
        <v>51</v>
      </c>
      <c r="J164">
        <v>0.6</v>
      </c>
      <c r="K164">
        <v>0.4</v>
      </c>
      <c r="M164">
        <v>2.4</v>
      </c>
      <c r="O164">
        <v>10.714285714285714</v>
      </c>
      <c r="P164">
        <v>840</v>
      </c>
      <c r="T164">
        <v>1.4</v>
      </c>
      <c r="U164">
        <v>0</v>
      </c>
    </row>
    <row r="165" spans="1:21" x14ac:dyDescent="0.2">
      <c r="A165" t="s">
        <v>267</v>
      </c>
      <c r="B165" t="s">
        <v>134</v>
      </c>
      <c r="C165" t="s">
        <v>135</v>
      </c>
      <c r="D165">
        <v>49</v>
      </c>
      <c r="E165">
        <v>650</v>
      </c>
      <c r="F165">
        <v>24</v>
      </c>
      <c r="G165" t="s">
        <v>51</v>
      </c>
      <c r="J165">
        <v>0.4</v>
      </c>
      <c r="K165">
        <v>0.6</v>
      </c>
      <c r="M165">
        <v>2.2000000000000002</v>
      </c>
      <c r="N165" t="s">
        <v>758</v>
      </c>
      <c r="O165">
        <v>13.26530612244898</v>
      </c>
      <c r="P165">
        <v>975</v>
      </c>
      <c r="T165">
        <v>1.5</v>
      </c>
      <c r="U165">
        <v>0</v>
      </c>
    </row>
    <row r="166" spans="1:21" x14ac:dyDescent="0.2">
      <c r="A166" t="s">
        <v>268</v>
      </c>
      <c r="B166" t="s">
        <v>134</v>
      </c>
      <c r="C166" t="s">
        <v>135</v>
      </c>
      <c r="D166">
        <v>49</v>
      </c>
      <c r="E166">
        <v>550</v>
      </c>
      <c r="F166">
        <v>23</v>
      </c>
      <c r="G166" t="s">
        <v>51</v>
      </c>
      <c r="J166">
        <v>0.35</v>
      </c>
      <c r="K166">
        <v>0.65</v>
      </c>
      <c r="M166">
        <v>2.15</v>
      </c>
      <c r="O166">
        <v>11.224489795918368</v>
      </c>
      <c r="P166">
        <v>825</v>
      </c>
      <c r="T166">
        <v>1.5</v>
      </c>
      <c r="U166">
        <v>0</v>
      </c>
    </row>
    <row r="167" spans="1:21" x14ac:dyDescent="0.2">
      <c r="A167" t="s">
        <v>160</v>
      </c>
      <c r="B167" t="s">
        <v>139</v>
      </c>
      <c r="D167">
        <v>60</v>
      </c>
      <c r="E167">
        <v>600</v>
      </c>
      <c r="F167">
        <v>22</v>
      </c>
      <c r="G167" t="s">
        <v>51</v>
      </c>
      <c r="I167">
        <v>140</v>
      </c>
      <c r="J167">
        <v>0.2</v>
      </c>
      <c r="K167">
        <v>0.8</v>
      </c>
      <c r="M167">
        <v>2</v>
      </c>
      <c r="O167">
        <v>10</v>
      </c>
      <c r="P167">
        <v>840</v>
      </c>
      <c r="T167">
        <v>1.4</v>
      </c>
      <c r="U167">
        <v>70</v>
      </c>
    </row>
    <row r="168" spans="1:21" x14ac:dyDescent="0.2">
      <c r="A168" t="s">
        <v>161</v>
      </c>
      <c r="B168" t="s">
        <v>57</v>
      </c>
      <c r="C168" t="s">
        <v>57</v>
      </c>
      <c r="D168">
        <v>65</v>
      </c>
      <c r="E168">
        <v>600</v>
      </c>
      <c r="F168">
        <v>24</v>
      </c>
      <c r="G168" t="s">
        <v>51</v>
      </c>
      <c r="I168">
        <v>120</v>
      </c>
      <c r="J168">
        <v>0.25</v>
      </c>
      <c r="K168">
        <v>0.75</v>
      </c>
      <c r="M168">
        <v>2.0499999999999998</v>
      </c>
      <c r="O168">
        <v>9.2307692307692299</v>
      </c>
      <c r="P168">
        <v>840</v>
      </c>
      <c r="T168">
        <v>1.4</v>
      </c>
      <c r="U168">
        <v>58.536585365853661</v>
      </c>
    </row>
    <row r="169" spans="1:21" x14ac:dyDescent="0.2">
      <c r="A169" t="s">
        <v>211</v>
      </c>
      <c r="B169" t="s">
        <v>50</v>
      </c>
      <c r="C169" t="s">
        <v>50</v>
      </c>
      <c r="D169">
        <v>56</v>
      </c>
      <c r="E169">
        <v>500</v>
      </c>
      <c r="F169">
        <v>21</v>
      </c>
      <c r="G169" t="s">
        <v>51</v>
      </c>
      <c r="I169">
        <v>120</v>
      </c>
      <c r="J169">
        <v>0.4</v>
      </c>
      <c r="K169">
        <v>0.6</v>
      </c>
      <c r="M169">
        <v>2.2000000000000002</v>
      </c>
      <c r="O169">
        <v>8.9285714285714288</v>
      </c>
      <c r="P169">
        <v>700</v>
      </c>
      <c r="Q169" t="s">
        <v>62</v>
      </c>
      <c r="T169">
        <v>1.4</v>
      </c>
      <c r="U169">
        <v>54.54545454545454</v>
      </c>
    </row>
    <row r="170" spans="1:21" x14ac:dyDescent="0.2">
      <c r="A170" t="s">
        <v>203</v>
      </c>
      <c r="B170" t="s">
        <v>61</v>
      </c>
      <c r="C170" t="s">
        <v>61</v>
      </c>
      <c r="G170" t="s">
        <v>51</v>
      </c>
      <c r="K170">
        <v>1</v>
      </c>
      <c r="M170">
        <v>1.8</v>
      </c>
      <c r="P170">
        <v>0</v>
      </c>
      <c r="T170">
        <v>1.9</v>
      </c>
      <c r="U170">
        <v>0</v>
      </c>
    </row>
    <row r="171" spans="1:21" x14ac:dyDescent="0.2">
      <c r="A171" t="s">
        <v>82</v>
      </c>
      <c r="B171" t="s">
        <v>61</v>
      </c>
      <c r="C171" t="s">
        <v>50</v>
      </c>
      <c r="D171">
        <v>63</v>
      </c>
      <c r="E171">
        <v>700</v>
      </c>
      <c r="F171">
        <v>21</v>
      </c>
      <c r="G171" t="s">
        <v>51</v>
      </c>
      <c r="I171">
        <v>170</v>
      </c>
      <c r="J171">
        <v>0.4</v>
      </c>
      <c r="K171">
        <v>0.6</v>
      </c>
      <c r="M171">
        <v>2.2000000000000002</v>
      </c>
      <c r="O171">
        <v>11.111111111111112</v>
      </c>
      <c r="P171">
        <v>980</v>
      </c>
      <c r="Q171" t="s">
        <v>62</v>
      </c>
      <c r="S171">
        <v>65</v>
      </c>
      <c r="T171">
        <v>1.4</v>
      </c>
      <c r="U171">
        <v>77.272727272727266</v>
      </c>
    </row>
    <row r="172" spans="1:21" x14ac:dyDescent="0.2">
      <c r="A172" t="s">
        <v>239</v>
      </c>
      <c r="B172" t="s">
        <v>68</v>
      </c>
      <c r="C172" t="s">
        <v>69</v>
      </c>
      <c r="D172">
        <v>65</v>
      </c>
      <c r="E172">
        <v>700</v>
      </c>
      <c r="F172">
        <v>30</v>
      </c>
      <c r="G172" t="s">
        <v>51</v>
      </c>
      <c r="I172">
        <v>140</v>
      </c>
      <c r="J172">
        <v>0.4</v>
      </c>
      <c r="K172">
        <v>0.6</v>
      </c>
      <c r="M172">
        <v>2.2000000000000002</v>
      </c>
      <c r="O172">
        <v>10.76923076923077</v>
      </c>
      <c r="P172">
        <v>980</v>
      </c>
      <c r="T172">
        <v>1.4</v>
      </c>
      <c r="U172">
        <v>63.636363636363633</v>
      </c>
    </row>
    <row r="173" spans="1:21" x14ac:dyDescent="0.2">
      <c r="A173" t="s">
        <v>199</v>
      </c>
      <c r="B173" t="s">
        <v>61</v>
      </c>
      <c r="C173" t="s">
        <v>61</v>
      </c>
      <c r="D173">
        <v>63</v>
      </c>
      <c r="E173">
        <v>500</v>
      </c>
      <c r="F173">
        <v>24</v>
      </c>
      <c r="G173" t="s">
        <v>51</v>
      </c>
      <c r="I173">
        <v>90</v>
      </c>
      <c r="J173">
        <v>0.4</v>
      </c>
      <c r="K173">
        <v>0.6</v>
      </c>
      <c r="M173">
        <v>2.2000000000000002</v>
      </c>
      <c r="O173">
        <v>7.9365079365079358</v>
      </c>
      <c r="P173">
        <v>700</v>
      </c>
      <c r="Q173" t="s">
        <v>66</v>
      </c>
      <c r="T173">
        <v>1.4</v>
      </c>
      <c r="U173">
        <v>40.909090909090907</v>
      </c>
    </row>
    <row r="174" spans="1:21" x14ac:dyDescent="0.2">
      <c r="A174" t="s">
        <v>215</v>
      </c>
      <c r="B174" t="s">
        <v>68</v>
      </c>
      <c r="C174" t="s">
        <v>68</v>
      </c>
      <c r="D174">
        <v>56</v>
      </c>
      <c r="E174">
        <v>500</v>
      </c>
      <c r="F174">
        <v>22</v>
      </c>
      <c r="G174" t="s">
        <v>51</v>
      </c>
      <c r="I174">
        <v>150</v>
      </c>
      <c r="J174">
        <v>0.6</v>
      </c>
      <c r="K174">
        <v>0.4</v>
      </c>
      <c r="M174">
        <v>2.4</v>
      </c>
      <c r="O174">
        <v>8.9285714285714288</v>
      </c>
      <c r="P174">
        <v>700</v>
      </c>
      <c r="Q174" t="s">
        <v>77</v>
      </c>
      <c r="T174">
        <v>1.4</v>
      </c>
      <c r="U174">
        <v>62.5</v>
      </c>
    </row>
    <row r="175" spans="1:21" x14ac:dyDescent="0.2">
      <c r="A175" t="s">
        <v>269</v>
      </c>
      <c r="B175" t="s">
        <v>134</v>
      </c>
      <c r="C175" t="s">
        <v>135</v>
      </c>
      <c r="D175">
        <v>49</v>
      </c>
      <c r="E175">
        <v>600</v>
      </c>
      <c r="F175">
        <v>24</v>
      </c>
      <c r="G175" t="s">
        <v>51</v>
      </c>
      <c r="J175">
        <v>0.4</v>
      </c>
      <c r="K175">
        <v>0.6</v>
      </c>
      <c r="M175">
        <v>2.2000000000000002</v>
      </c>
      <c r="O175">
        <v>12.244897959183673</v>
      </c>
      <c r="P175">
        <v>900</v>
      </c>
      <c r="T175">
        <v>1.5</v>
      </c>
      <c r="U175">
        <v>0</v>
      </c>
    </row>
    <row r="176" spans="1:21" x14ac:dyDescent="0.2">
      <c r="A176" t="s">
        <v>270</v>
      </c>
      <c r="B176" t="s">
        <v>134</v>
      </c>
      <c r="C176" t="s">
        <v>135</v>
      </c>
      <c r="D176">
        <v>49</v>
      </c>
      <c r="E176">
        <v>600</v>
      </c>
      <c r="F176">
        <v>24</v>
      </c>
      <c r="G176" t="s">
        <v>51</v>
      </c>
      <c r="J176">
        <v>0.4</v>
      </c>
      <c r="K176">
        <v>0.6</v>
      </c>
      <c r="M176">
        <v>2.2000000000000002</v>
      </c>
      <c r="N176" t="s">
        <v>762</v>
      </c>
      <c r="O176">
        <v>12.244897959183673</v>
      </c>
      <c r="P176">
        <v>900</v>
      </c>
      <c r="T176">
        <v>1.5</v>
      </c>
      <c r="U176">
        <v>0</v>
      </c>
    </row>
    <row r="177" spans="1:21" x14ac:dyDescent="0.2">
      <c r="A177" t="s">
        <v>266</v>
      </c>
      <c r="B177" t="s">
        <v>68</v>
      </c>
      <c r="C177" t="s">
        <v>131</v>
      </c>
      <c r="D177">
        <v>60</v>
      </c>
      <c r="F177">
        <v>30</v>
      </c>
      <c r="G177" t="s">
        <v>51</v>
      </c>
      <c r="K177">
        <v>1</v>
      </c>
      <c r="M177">
        <v>1.8</v>
      </c>
      <c r="O177">
        <v>0</v>
      </c>
      <c r="P177">
        <v>0</v>
      </c>
      <c r="T177">
        <v>1.4</v>
      </c>
      <c r="U177">
        <v>0</v>
      </c>
    </row>
    <row r="178" spans="1:21" x14ac:dyDescent="0.2">
      <c r="A178" t="s">
        <v>201</v>
      </c>
      <c r="B178" t="s">
        <v>61</v>
      </c>
      <c r="C178" t="s">
        <v>50</v>
      </c>
      <c r="D178">
        <v>63</v>
      </c>
      <c r="E178">
        <v>500</v>
      </c>
      <c r="F178">
        <v>23</v>
      </c>
      <c r="G178" t="s">
        <v>51</v>
      </c>
      <c r="I178">
        <v>110</v>
      </c>
      <c r="J178">
        <v>0.4</v>
      </c>
      <c r="K178">
        <v>0.6</v>
      </c>
      <c r="M178">
        <v>2.2000000000000002</v>
      </c>
      <c r="O178">
        <v>7.9365079365079358</v>
      </c>
      <c r="P178">
        <v>700</v>
      </c>
      <c r="Q178" t="s">
        <v>62</v>
      </c>
      <c r="T178">
        <v>1.4</v>
      </c>
      <c r="U178">
        <v>49.999999999999993</v>
      </c>
    </row>
    <row r="179" spans="1:21" x14ac:dyDescent="0.2">
      <c r="A179" t="s">
        <v>261</v>
      </c>
      <c r="B179" t="s">
        <v>68</v>
      </c>
      <c r="C179" t="s">
        <v>54</v>
      </c>
      <c r="D179">
        <v>63</v>
      </c>
      <c r="E179">
        <v>550</v>
      </c>
      <c r="G179" t="s">
        <v>51</v>
      </c>
      <c r="J179">
        <v>0.45</v>
      </c>
      <c r="K179">
        <v>0.55000000000000004</v>
      </c>
      <c r="M179">
        <v>2.25</v>
      </c>
      <c r="O179">
        <v>8.7301587301587293</v>
      </c>
      <c r="P179">
        <v>770</v>
      </c>
      <c r="T179">
        <v>1.4</v>
      </c>
      <c r="U179">
        <v>0</v>
      </c>
    </row>
    <row r="180" spans="1:21" x14ac:dyDescent="0.2">
      <c r="A180" t="s">
        <v>238</v>
      </c>
      <c r="B180" t="s">
        <v>68</v>
      </c>
      <c r="C180" t="s">
        <v>69</v>
      </c>
      <c r="D180">
        <v>70</v>
      </c>
      <c r="E180">
        <v>700</v>
      </c>
      <c r="F180">
        <v>28</v>
      </c>
      <c r="G180" t="s">
        <v>51</v>
      </c>
      <c r="I180">
        <v>160</v>
      </c>
      <c r="J180">
        <v>0.3</v>
      </c>
      <c r="K180">
        <v>0.7</v>
      </c>
      <c r="M180">
        <v>2.1</v>
      </c>
      <c r="O180">
        <v>10</v>
      </c>
      <c r="P180">
        <v>980</v>
      </c>
      <c r="T180">
        <v>1.4</v>
      </c>
      <c r="U180">
        <v>76.19047619047619</v>
      </c>
    </row>
    <row r="181" spans="1:21" x14ac:dyDescent="0.2">
      <c r="A181" t="s">
        <v>202</v>
      </c>
      <c r="B181" t="s">
        <v>61</v>
      </c>
      <c r="C181" t="s">
        <v>61</v>
      </c>
      <c r="D181">
        <v>70</v>
      </c>
      <c r="E181">
        <v>500</v>
      </c>
      <c r="F181">
        <v>25</v>
      </c>
      <c r="G181" t="s">
        <v>51</v>
      </c>
      <c r="I181">
        <v>100</v>
      </c>
      <c r="J181">
        <v>0.4</v>
      </c>
      <c r="K181">
        <v>0.6</v>
      </c>
      <c r="M181">
        <v>2.2000000000000002</v>
      </c>
      <c r="O181">
        <v>7.1428571428571432</v>
      </c>
      <c r="P181">
        <v>700</v>
      </c>
      <c r="Q181" t="s">
        <v>66</v>
      </c>
      <c r="T181">
        <v>1.4</v>
      </c>
      <c r="U181">
        <v>45.454545454545453</v>
      </c>
    </row>
    <row r="182" spans="1:21" x14ac:dyDescent="0.2">
      <c r="A182" t="s">
        <v>262</v>
      </c>
      <c r="B182" t="s">
        <v>89</v>
      </c>
      <c r="C182" t="s">
        <v>111</v>
      </c>
      <c r="D182">
        <v>65</v>
      </c>
      <c r="E182">
        <v>600</v>
      </c>
      <c r="G182" t="s">
        <v>51</v>
      </c>
      <c r="I182">
        <v>140</v>
      </c>
      <c r="K182">
        <v>1</v>
      </c>
      <c r="M182">
        <v>1.8</v>
      </c>
      <c r="O182">
        <v>9.2307692307692299</v>
      </c>
      <c r="P182">
        <v>840</v>
      </c>
      <c r="T182">
        <v>1.4</v>
      </c>
      <c r="U182">
        <v>77.777777777777771</v>
      </c>
    </row>
    <row r="183" spans="1:21" x14ac:dyDescent="0.2">
      <c r="A183" t="s">
        <v>162</v>
      </c>
      <c r="B183" t="s">
        <v>89</v>
      </c>
      <c r="D183">
        <v>65</v>
      </c>
      <c r="E183">
        <v>600</v>
      </c>
      <c r="G183" t="s">
        <v>51</v>
      </c>
      <c r="I183">
        <v>140</v>
      </c>
      <c r="J183">
        <v>0.2</v>
      </c>
      <c r="K183">
        <v>0.8</v>
      </c>
      <c r="M183">
        <v>2</v>
      </c>
      <c r="O183">
        <v>9.2307692307692299</v>
      </c>
      <c r="P183">
        <v>840</v>
      </c>
      <c r="T183">
        <v>1.4</v>
      </c>
      <c r="U183">
        <v>70</v>
      </c>
    </row>
    <row r="184" spans="1:21" x14ac:dyDescent="0.2">
      <c r="A184" t="s">
        <v>120</v>
      </c>
      <c r="B184" t="s">
        <v>89</v>
      </c>
      <c r="C184" t="s">
        <v>121</v>
      </c>
      <c r="D184">
        <v>65</v>
      </c>
      <c r="E184">
        <v>650</v>
      </c>
      <c r="G184" t="s">
        <v>51</v>
      </c>
      <c r="I184">
        <v>110</v>
      </c>
      <c r="J184">
        <v>0.4</v>
      </c>
      <c r="K184">
        <v>0.6</v>
      </c>
      <c r="M184">
        <v>2.2000000000000002</v>
      </c>
      <c r="O184">
        <v>10</v>
      </c>
      <c r="P184">
        <v>910</v>
      </c>
      <c r="T184">
        <v>1.4</v>
      </c>
      <c r="U184">
        <v>49.999999999999993</v>
      </c>
    </row>
    <row r="185" spans="1:21" x14ac:dyDescent="0.2">
      <c r="A185" t="s">
        <v>49</v>
      </c>
      <c r="B185" t="s">
        <v>50</v>
      </c>
      <c r="C185" t="s">
        <v>50</v>
      </c>
      <c r="D185">
        <v>63</v>
      </c>
      <c r="E185">
        <v>900</v>
      </c>
      <c r="F185">
        <v>20</v>
      </c>
      <c r="G185" t="s">
        <v>51</v>
      </c>
      <c r="J185">
        <v>0.2</v>
      </c>
      <c r="K185">
        <v>0.8</v>
      </c>
      <c r="M185">
        <v>2</v>
      </c>
      <c r="O185">
        <v>14.285714285714286</v>
      </c>
      <c r="P185">
        <v>1260</v>
      </c>
      <c r="T185">
        <v>1.4</v>
      </c>
      <c r="U185">
        <v>0</v>
      </c>
    </row>
    <row r="186" spans="1:21" x14ac:dyDescent="0.2">
      <c r="A186" t="s">
        <v>226</v>
      </c>
      <c r="B186" t="s">
        <v>74</v>
      </c>
      <c r="C186" t="s">
        <v>75</v>
      </c>
      <c r="D186">
        <v>58</v>
      </c>
      <c r="E186">
        <v>500</v>
      </c>
      <c r="F186">
        <v>29</v>
      </c>
      <c r="G186" t="s">
        <v>51</v>
      </c>
      <c r="I186">
        <v>150</v>
      </c>
      <c r="J186">
        <v>0.3</v>
      </c>
      <c r="K186">
        <v>0.7</v>
      </c>
      <c r="M186">
        <v>2.1</v>
      </c>
      <c r="O186">
        <v>8.6206896551724146</v>
      </c>
      <c r="P186">
        <v>700</v>
      </c>
      <c r="Q186" t="s">
        <v>227</v>
      </c>
      <c r="T186">
        <v>1.4</v>
      </c>
      <c r="U186">
        <v>71.428571428571431</v>
      </c>
    </row>
    <row r="187" spans="1:21" x14ac:dyDescent="0.2">
      <c r="A187" t="s">
        <v>206</v>
      </c>
      <c r="B187" t="s">
        <v>61</v>
      </c>
      <c r="C187" t="s">
        <v>61</v>
      </c>
      <c r="D187">
        <v>70</v>
      </c>
      <c r="E187">
        <v>500</v>
      </c>
      <c r="F187">
        <v>19</v>
      </c>
      <c r="G187" t="s">
        <v>8</v>
      </c>
      <c r="I187">
        <v>100</v>
      </c>
      <c r="J187">
        <v>0.5</v>
      </c>
      <c r="K187">
        <v>0.5</v>
      </c>
      <c r="M187">
        <v>2.2999999999999998</v>
      </c>
      <c r="O187">
        <v>7.1428571428571432</v>
      </c>
      <c r="P187">
        <v>700</v>
      </c>
      <c r="Q187" t="s">
        <v>66</v>
      </c>
      <c r="T187">
        <v>1.4</v>
      </c>
      <c r="U187">
        <v>43.478260869565219</v>
      </c>
    </row>
    <row r="188" spans="1:21" x14ac:dyDescent="0.2">
      <c r="A188" t="s">
        <v>83</v>
      </c>
      <c r="B188" t="s">
        <v>61</v>
      </c>
      <c r="C188" t="s">
        <v>50</v>
      </c>
      <c r="D188">
        <v>63</v>
      </c>
      <c r="E188">
        <v>700</v>
      </c>
      <c r="F188">
        <v>22</v>
      </c>
      <c r="G188" t="s">
        <v>51</v>
      </c>
      <c r="I188">
        <v>170</v>
      </c>
      <c r="J188">
        <v>0.3</v>
      </c>
      <c r="K188">
        <v>0.7</v>
      </c>
      <c r="M188">
        <v>2.1</v>
      </c>
      <c r="O188">
        <v>11.111111111111112</v>
      </c>
      <c r="P188">
        <v>980</v>
      </c>
      <c r="Q188" t="s">
        <v>62</v>
      </c>
      <c r="T188">
        <v>1.4</v>
      </c>
      <c r="U188">
        <v>80.952380952380949</v>
      </c>
    </row>
    <row r="189" spans="1:21" x14ac:dyDescent="0.2">
      <c r="A189" t="s">
        <v>764</v>
      </c>
      <c r="B189" t="s">
        <v>760</v>
      </c>
      <c r="C189" t="s">
        <v>760</v>
      </c>
      <c r="D189">
        <v>70</v>
      </c>
      <c r="E189">
        <v>400</v>
      </c>
      <c r="F189">
        <v>23</v>
      </c>
      <c r="G189" t="s">
        <v>51</v>
      </c>
      <c r="J189">
        <v>0.5</v>
      </c>
      <c r="K189">
        <v>0.5</v>
      </c>
      <c r="M189">
        <v>2.2999999999999998</v>
      </c>
      <c r="O189">
        <v>5.7142857142857144</v>
      </c>
      <c r="P189">
        <v>560</v>
      </c>
      <c r="T189">
        <v>1.4</v>
      </c>
      <c r="U189">
        <v>0</v>
      </c>
    </row>
    <row r="190" spans="1:21" x14ac:dyDescent="0.2">
      <c r="G190" t="s">
        <v>51</v>
      </c>
      <c r="K190">
        <v>1</v>
      </c>
      <c r="M190">
        <v>1.8</v>
      </c>
      <c r="P190">
        <v>0</v>
      </c>
      <c r="T190">
        <v>1.9</v>
      </c>
      <c r="U190">
        <v>0</v>
      </c>
    </row>
    <row r="191" spans="1:21" x14ac:dyDescent="0.2">
      <c r="G191" t="s">
        <v>51</v>
      </c>
      <c r="K191">
        <v>1</v>
      </c>
      <c r="M191">
        <v>1.8</v>
      </c>
      <c r="P191">
        <v>0</v>
      </c>
      <c r="T191">
        <v>1.9</v>
      </c>
      <c r="U191">
        <v>0</v>
      </c>
    </row>
    <row r="192" spans="1:21" x14ac:dyDescent="0.2">
      <c r="G192" t="s">
        <v>51</v>
      </c>
      <c r="K192">
        <v>1</v>
      </c>
      <c r="M192">
        <v>1.8</v>
      </c>
      <c r="P192">
        <v>0</v>
      </c>
      <c r="T192">
        <v>1.9</v>
      </c>
      <c r="U192">
        <v>0</v>
      </c>
    </row>
    <row r="193" spans="7:21" x14ac:dyDescent="0.2">
      <c r="G193" t="s">
        <v>51</v>
      </c>
      <c r="K193">
        <v>1</v>
      </c>
      <c r="M193">
        <v>1.8</v>
      </c>
      <c r="P193">
        <v>0</v>
      </c>
      <c r="T193">
        <v>1.9</v>
      </c>
      <c r="U193">
        <v>0</v>
      </c>
    </row>
    <row r="194" spans="7:21" x14ac:dyDescent="0.2">
      <c r="G194" t="s">
        <v>51</v>
      </c>
      <c r="K194">
        <v>1</v>
      </c>
      <c r="M194">
        <v>1.8</v>
      </c>
      <c r="P194">
        <v>0</v>
      </c>
      <c r="T194">
        <v>1.9</v>
      </c>
      <c r="U194">
        <v>0</v>
      </c>
    </row>
    <row r="195" spans="7:21" x14ac:dyDescent="0.2">
      <c r="G195" t="s">
        <v>51</v>
      </c>
      <c r="K195">
        <v>1</v>
      </c>
      <c r="M195">
        <v>1.8</v>
      </c>
      <c r="P195">
        <v>0</v>
      </c>
      <c r="T195">
        <v>1.9</v>
      </c>
      <c r="U195">
        <v>0</v>
      </c>
    </row>
    <row r="196" spans="7:21" x14ac:dyDescent="0.2">
      <c r="G196" t="s">
        <v>51</v>
      </c>
      <c r="K196">
        <v>1</v>
      </c>
      <c r="M196">
        <v>1.8</v>
      </c>
      <c r="P196">
        <v>0</v>
      </c>
      <c r="T196">
        <v>1.9</v>
      </c>
      <c r="U196">
        <v>0</v>
      </c>
    </row>
    <row r="197" spans="7:21" x14ac:dyDescent="0.2">
      <c r="G197" t="s">
        <v>51</v>
      </c>
      <c r="K197">
        <v>1</v>
      </c>
      <c r="M197">
        <v>1.8</v>
      </c>
      <c r="P197">
        <v>0</v>
      </c>
      <c r="T197">
        <v>1.9</v>
      </c>
      <c r="U197">
        <v>0</v>
      </c>
    </row>
    <row r="198" spans="7:21" x14ac:dyDescent="0.2">
      <c r="G198" t="s">
        <v>51</v>
      </c>
      <c r="K198">
        <v>1</v>
      </c>
      <c r="M198">
        <v>1.8</v>
      </c>
      <c r="P198">
        <v>0</v>
      </c>
      <c r="T198">
        <v>1.9</v>
      </c>
      <c r="U198">
        <v>0</v>
      </c>
    </row>
    <row r="199" spans="7:21" x14ac:dyDescent="0.2">
      <c r="G199" t="s">
        <v>51</v>
      </c>
      <c r="K199">
        <v>1</v>
      </c>
      <c r="M199">
        <v>1.8</v>
      </c>
      <c r="P199">
        <v>0</v>
      </c>
      <c r="T199">
        <v>1.9</v>
      </c>
      <c r="U199">
        <v>0</v>
      </c>
    </row>
    <row r="200" spans="7:21" x14ac:dyDescent="0.2">
      <c r="G200" t="s">
        <v>51</v>
      </c>
      <c r="K200">
        <v>1</v>
      </c>
      <c r="M200">
        <v>1.8</v>
      </c>
      <c r="P200">
        <v>0</v>
      </c>
      <c r="T200">
        <v>1.9</v>
      </c>
      <c r="U200">
        <v>0</v>
      </c>
    </row>
    <row r="201" spans="7:21" x14ac:dyDescent="0.2">
      <c r="G201" t="s">
        <v>51</v>
      </c>
      <c r="K201">
        <v>1</v>
      </c>
      <c r="M201">
        <v>1.8</v>
      </c>
      <c r="P201">
        <v>0</v>
      </c>
      <c r="T201">
        <v>1.9</v>
      </c>
      <c r="U201">
        <v>0</v>
      </c>
    </row>
    <row r="202" spans="7:21" x14ac:dyDescent="0.2">
      <c r="G202" t="s">
        <v>51</v>
      </c>
      <c r="K202">
        <v>1</v>
      </c>
      <c r="M202">
        <v>1.8</v>
      </c>
      <c r="P202">
        <v>0</v>
      </c>
      <c r="T202">
        <v>1.9</v>
      </c>
      <c r="U202">
        <v>0</v>
      </c>
    </row>
    <row r="203" spans="7:21" x14ac:dyDescent="0.2">
      <c r="G203" t="s">
        <v>51</v>
      </c>
      <c r="K203">
        <v>1</v>
      </c>
      <c r="M203">
        <v>1.8</v>
      </c>
      <c r="P203">
        <v>0</v>
      </c>
      <c r="T203">
        <v>1.9</v>
      </c>
      <c r="U203">
        <v>0</v>
      </c>
    </row>
    <row r="204" spans="7:21" x14ac:dyDescent="0.2">
      <c r="G204" t="s">
        <v>51</v>
      </c>
      <c r="K204">
        <v>1</v>
      </c>
      <c r="M204">
        <v>1.8</v>
      </c>
      <c r="P204">
        <v>0</v>
      </c>
      <c r="T204">
        <v>1.9</v>
      </c>
      <c r="U204">
        <v>0</v>
      </c>
    </row>
    <row r="205" spans="7:21" x14ac:dyDescent="0.2">
      <c r="K205">
        <v>1</v>
      </c>
      <c r="M205">
        <v>1.8</v>
      </c>
      <c r="P205">
        <v>0</v>
      </c>
      <c r="T205">
        <v>1.9</v>
      </c>
      <c r="U205">
        <v>0</v>
      </c>
    </row>
    <row r="206" spans="7:21" x14ac:dyDescent="0.2">
      <c r="K206">
        <v>1</v>
      </c>
      <c r="M206">
        <v>1.8</v>
      </c>
      <c r="P206">
        <v>0</v>
      </c>
      <c r="T206">
        <v>1.9</v>
      </c>
      <c r="U206">
        <v>0</v>
      </c>
    </row>
    <row r="207" spans="7:21" x14ac:dyDescent="0.2">
      <c r="K207">
        <v>1</v>
      </c>
      <c r="M207">
        <v>1.8</v>
      </c>
      <c r="P207">
        <v>0</v>
      </c>
      <c r="T207">
        <v>1.9</v>
      </c>
      <c r="U20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F25-87D7-42C1-B635-20E600946DE9}">
  <sheetPr>
    <tabColor theme="1"/>
  </sheetPr>
  <dimension ref="A1:AJ34"/>
  <sheetViews>
    <sheetView workbookViewId="0">
      <selection activeCell="F36" sqref="F36"/>
    </sheetView>
  </sheetViews>
  <sheetFormatPr baseColWidth="10" defaultRowHeight="14.25" x14ac:dyDescent="0.2"/>
  <cols>
    <col min="1" max="1" width="36.28515625" bestFit="1" customWidth="1"/>
    <col min="2" max="2" width="11.7109375" bestFit="1" customWidth="1"/>
    <col min="3" max="3" width="15" bestFit="1" customWidth="1"/>
    <col min="4" max="4" width="10.140625" bestFit="1" customWidth="1"/>
    <col min="5" max="5" width="12.5703125" bestFit="1" customWidth="1"/>
    <col min="6" max="6" width="5.5703125" bestFit="1" customWidth="1"/>
    <col min="7" max="7" width="10" bestFit="1" customWidth="1"/>
    <col min="8" max="8" width="9.42578125" bestFit="1" customWidth="1"/>
    <col min="9" max="9" width="8.28515625" bestFit="1" customWidth="1"/>
    <col min="10" max="10" width="7.5703125" bestFit="1" customWidth="1"/>
    <col min="11" max="11" width="8.85546875" bestFit="1" customWidth="1"/>
    <col min="12" max="12" width="21.85546875" bestFit="1" customWidth="1"/>
    <col min="13" max="13" width="18" bestFit="1" customWidth="1"/>
    <col min="14" max="14" width="20.140625" bestFit="1" customWidth="1"/>
    <col min="15" max="15" width="7" bestFit="1" customWidth="1"/>
    <col min="16" max="16" width="4.42578125" bestFit="1" customWidth="1"/>
    <col min="17" max="18" width="5.5703125" bestFit="1" customWidth="1"/>
    <col min="19" max="19" width="7" bestFit="1" customWidth="1"/>
    <col min="20" max="20" width="5.7109375" bestFit="1" customWidth="1"/>
    <col min="21" max="21" width="7" bestFit="1" customWidth="1"/>
    <col min="22" max="22" width="8.28515625" bestFit="1" customWidth="1"/>
    <col min="23" max="23" width="4.42578125" bestFit="1" customWidth="1"/>
    <col min="24" max="24" width="5.140625" bestFit="1" customWidth="1"/>
    <col min="25" max="25" width="5.42578125" bestFit="1" customWidth="1"/>
    <col min="26" max="26" width="6.140625" bestFit="1" customWidth="1"/>
    <col min="27" max="27" width="5.5703125" bestFit="1" customWidth="1"/>
    <col min="28" max="28" width="4.42578125" bestFit="1" customWidth="1"/>
    <col min="29" max="29" width="5.7109375" bestFit="1" customWidth="1"/>
    <col min="30" max="30" width="6.140625" bestFit="1" customWidth="1"/>
    <col min="31" max="31" width="7" bestFit="1" customWidth="1"/>
    <col min="32" max="32" width="11.85546875" bestFit="1" customWidth="1"/>
    <col min="33" max="33" width="16.140625" bestFit="1" customWidth="1"/>
    <col min="34" max="34" width="17.5703125" bestFit="1" customWidth="1"/>
    <col min="35" max="35" width="18.85546875" bestFit="1" customWidth="1"/>
  </cols>
  <sheetData>
    <row r="1" spans="1:36" x14ac:dyDescent="0.2">
      <c r="A1" t="s">
        <v>30</v>
      </c>
      <c r="B1" t="s">
        <v>32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  <c r="J1" t="s">
        <v>658</v>
      </c>
      <c r="K1" t="s">
        <v>703</v>
      </c>
      <c r="L1" t="s">
        <v>659</v>
      </c>
      <c r="M1" t="s">
        <v>660</v>
      </c>
      <c r="N1" t="s">
        <v>661</v>
      </c>
      <c r="O1" t="s">
        <v>310</v>
      </c>
      <c r="P1" t="s">
        <v>662</v>
      </c>
      <c r="Q1" t="s">
        <v>663</v>
      </c>
      <c r="R1" t="s">
        <v>664</v>
      </c>
      <c r="S1" t="s">
        <v>309</v>
      </c>
      <c r="T1" t="s">
        <v>665</v>
      </c>
      <c r="U1" t="s">
        <v>316</v>
      </c>
      <c r="V1" t="s">
        <v>666</v>
      </c>
      <c r="W1" t="s">
        <v>667</v>
      </c>
      <c r="X1" t="s">
        <v>668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669</v>
      </c>
      <c r="AF1" t="s">
        <v>670</v>
      </c>
      <c r="AG1" t="s">
        <v>671</v>
      </c>
      <c r="AH1" t="s">
        <v>672</v>
      </c>
      <c r="AI1" t="s">
        <v>673</v>
      </c>
      <c r="AJ1" t="s">
        <v>674</v>
      </c>
    </row>
    <row r="2" spans="1:36" x14ac:dyDescent="0.2">
      <c r="A2" t="s">
        <v>701</v>
      </c>
      <c r="B2" t="s">
        <v>675</v>
      </c>
      <c r="C2" t="s">
        <v>704</v>
      </c>
      <c r="D2">
        <v>0.3</v>
      </c>
      <c r="E2">
        <v>0.3</v>
      </c>
      <c r="F2">
        <v>5.6</v>
      </c>
      <c r="G2">
        <v>50</v>
      </c>
      <c r="H2">
        <v>30</v>
      </c>
      <c r="I2">
        <v>60</v>
      </c>
      <c r="J2">
        <v>60</v>
      </c>
      <c r="AH2" t="s">
        <v>677</v>
      </c>
    </row>
    <row r="3" spans="1:36" x14ac:dyDescent="0.2">
      <c r="A3" t="s">
        <v>702</v>
      </c>
      <c r="B3" t="s">
        <v>675</v>
      </c>
      <c r="C3" t="s">
        <v>705</v>
      </c>
      <c r="D3">
        <v>0.5</v>
      </c>
      <c r="E3">
        <v>0.5</v>
      </c>
      <c r="F3">
        <v>5.6</v>
      </c>
      <c r="G3">
        <v>90</v>
      </c>
      <c r="H3">
        <v>50</v>
      </c>
      <c r="I3">
        <v>100</v>
      </c>
      <c r="J3">
        <v>70</v>
      </c>
      <c r="AH3" t="s">
        <v>678</v>
      </c>
    </row>
    <row r="4" spans="1:36" x14ac:dyDescent="0.2">
      <c r="A4" t="s">
        <v>706</v>
      </c>
      <c r="B4" t="s">
        <v>675</v>
      </c>
      <c r="C4" t="s">
        <v>684</v>
      </c>
      <c r="D4">
        <v>0.6</v>
      </c>
      <c r="E4">
        <v>0.6</v>
      </c>
      <c r="F4">
        <v>5.8</v>
      </c>
      <c r="G4">
        <v>100</v>
      </c>
      <c r="H4">
        <v>60</v>
      </c>
      <c r="I4">
        <v>110</v>
      </c>
      <c r="J4">
        <v>100</v>
      </c>
      <c r="K4" t="s">
        <v>8</v>
      </c>
      <c r="AG4" t="s">
        <v>679</v>
      </c>
      <c r="AH4" t="s">
        <v>680</v>
      </c>
      <c r="AJ4" t="s">
        <v>681</v>
      </c>
    </row>
    <row r="5" spans="1:36" x14ac:dyDescent="0.2">
      <c r="A5" t="s">
        <v>707</v>
      </c>
      <c r="B5" t="s">
        <v>675</v>
      </c>
      <c r="C5" t="s">
        <v>704</v>
      </c>
      <c r="D5">
        <v>0.8</v>
      </c>
      <c r="E5">
        <v>0.8</v>
      </c>
      <c r="F5">
        <v>5.6</v>
      </c>
      <c r="G5">
        <v>140</v>
      </c>
      <c r="H5">
        <v>80</v>
      </c>
      <c r="I5">
        <v>190</v>
      </c>
      <c r="J5">
        <v>70</v>
      </c>
      <c r="K5" t="s">
        <v>51</v>
      </c>
      <c r="AH5" t="s">
        <v>683</v>
      </c>
    </row>
    <row r="6" spans="1:36" x14ac:dyDescent="0.2">
      <c r="A6" t="s">
        <v>708</v>
      </c>
      <c r="B6" t="s">
        <v>675</v>
      </c>
      <c r="C6" t="s">
        <v>705</v>
      </c>
      <c r="D6">
        <v>0.8</v>
      </c>
      <c r="E6">
        <v>0.8</v>
      </c>
      <c r="F6">
        <v>5.6</v>
      </c>
      <c r="G6">
        <v>140</v>
      </c>
      <c r="H6">
        <v>80</v>
      </c>
      <c r="I6">
        <v>190</v>
      </c>
      <c r="J6">
        <v>80</v>
      </c>
      <c r="AH6" t="s">
        <v>682</v>
      </c>
    </row>
    <row r="7" spans="1:36" x14ac:dyDescent="0.2">
      <c r="A7" t="s">
        <v>709</v>
      </c>
      <c r="B7" t="s">
        <v>675</v>
      </c>
      <c r="C7" t="s">
        <v>705</v>
      </c>
      <c r="D7">
        <v>0.8</v>
      </c>
      <c r="E7">
        <v>0.8</v>
      </c>
      <c r="F7">
        <v>5.6</v>
      </c>
      <c r="G7">
        <v>140</v>
      </c>
      <c r="H7">
        <v>80</v>
      </c>
      <c r="I7">
        <v>190</v>
      </c>
    </row>
    <row r="8" spans="1:36" x14ac:dyDescent="0.2">
      <c r="A8" t="s">
        <v>710</v>
      </c>
      <c r="B8" t="s">
        <v>675</v>
      </c>
      <c r="C8" t="s">
        <v>684</v>
      </c>
      <c r="D8">
        <v>0.8</v>
      </c>
      <c r="E8">
        <v>0.8</v>
      </c>
      <c r="F8">
        <v>5.6</v>
      </c>
      <c r="G8">
        <v>140</v>
      </c>
      <c r="H8">
        <v>80</v>
      </c>
      <c r="I8">
        <v>190</v>
      </c>
    </row>
    <row r="9" spans="1:36" x14ac:dyDescent="0.2">
      <c r="A9" t="s">
        <v>711</v>
      </c>
      <c r="B9" t="s">
        <v>675</v>
      </c>
      <c r="C9" t="s">
        <v>684</v>
      </c>
      <c r="D9">
        <v>0.8</v>
      </c>
      <c r="E9">
        <v>0.8</v>
      </c>
      <c r="F9">
        <v>5.6</v>
      </c>
      <c r="G9">
        <v>140</v>
      </c>
      <c r="H9">
        <v>80</v>
      </c>
      <c r="I9">
        <v>190</v>
      </c>
      <c r="AF9" t="s">
        <v>51</v>
      </c>
    </row>
    <row r="10" spans="1:36" x14ac:dyDescent="0.2">
      <c r="A10" t="s">
        <v>712</v>
      </c>
      <c r="B10" t="s">
        <v>675</v>
      </c>
      <c r="C10" t="s">
        <v>684</v>
      </c>
      <c r="D10">
        <v>0.8</v>
      </c>
      <c r="E10">
        <v>0.8</v>
      </c>
      <c r="F10">
        <v>5.6</v>
      </c>
      <c r="G10">
        <v>140</v>
      </c>
      <c r="H10">
        <v>80</v>
      </c>
      <c r="I10">
        <v>190</v>
      </c>
    </row>
    <row r="11" spans="1:36" x14ac:dyDescent="0.2">
      <c r="A11" t="s">
        <v>713</v>
      </c>
      <c r="B11" t="s">
        <v>675</v>
      </c>
      <c r="C11" t="s">
        <v>684</v>
      </c>
      <c r="D11">
        <v>0.8</v>
      </c>
      <c r="E11">
        <v>0.8</v>
      </c>
      <c r="F11">
        <v>5.6</v>
      </c>
      <c r="G11">
        <v>140</v>
      </c>
      <c r="H11">
        <v>80</v>
      </c>
      <c r="I11">
        <v>190</v>
      </c>
      <c r="K11" t="s">
        <v>51</v>
      </c>
      <c r="AF11" t="s">
        <v>51</v>
      </c>
    </row>
    <row r="12" spans="1:36" x14ac:dyDescent="0.2">
      <c r="A12" t="s">
        <v>714</v>
      </c>
      <c r="B12" t="s">
        <v>675</v>
      </c>
      <c r="C12" t="s">
        <v>715</v>
      </c>
      <c r="D12">
        <v>0.8</v>
      </c>
      <c r="E12">
        <v>0.8</v>
      </c>
      <c r="F12">
        <v>5.6</v>
      </c>
      <c r="G12">
        <v>140</v>
      </c>
      <c r="H12">
        <v>80</v>
      </c>
      <c r="I12">
        <v>190</v>
      </c>
      <c r="J12">
        <v>80</v>
      </c>
      <c r="M12">
        <v>0.85</v>
      </c>
      <c r="AH12" t="s">
        <v>682</v>
      </c>
      <c r="AJ12" t="s">
        <v>681</v>
      </c>
    </row>
    <row r="13" spans="1:36" x14ac:dyDescent="0.2">
      <c r="A13" t="s">
        <v>716</v>
      </c>
      <c r="B13" t="s">
        <v>675</v>
      </c>
      <c r="C13" t="s">
        <v>717</v>
      </c>
      <c r="D13">
        <v>0.9</v>
      </c>
      <c r="E13">
        <v>0.9</v>
      </c>
      <c r="F13">
        <v>5.8</v>
      </c>
      <c r="G13">
        <v>140</v>
      </c>
      <c r="H13">
        <v>80</v>
      </c>
      <c r="I13">
        <v>190</v>
      </c>
      <c r="J13">
        <v>140</v>
      </c>
      <c r="AH13" t="s">
        <v>678</v>
      </c>
    </row>
    <row r="14" spans="1:36" x14ac:dyDescent="0.2">
      <c r="A14" t="s">
        <v>685</v>
      </c>
      <c r="B14" t="s">
        <v>675</v>
      </c>
      <c r="C14" t="s">
        <v>684</v>
      </c>
      <c r="D14">
        <v>0.9</v>
      </c>
      <c r="E14">
        <v>0.9</v>
      </c>
      <c r="F14">
        <v>6</v>
      </c>
      <c r="G14">
        <v>150</v>
      </c>
      <c r="H14">
        <v>150</v>
      </c>
      <c r="I14">
        <v>300</v>
      </c>
      <c r="J14">
        <v>150</v>
      </c>
      <c r="AH14" t="s">
        <v>686</v>
      </c>
    </row>
    <row r="15" spans="1:36" x14ac:dyDescent="0.2">
      <c r="A15" t="s">
        <v>718</v>
      </c>
      <c r="B15" t="s">
        <v>675</v>
      </c>
      <c r="C15" t="s">
        <v>684</v>
      </c>
      <c r="D15">
        <v>1</v>
      </c>
      <c r="E15">
        <v>1</v>
      </c>
      <c r="F15">
        <v>5.6</v>
      </c>
      <c r="G15">
        <v>180</v>
      </c>
      <c r="H15">
        <v>100</v>
      </c>
      <c r="I15">
        <v>230</v>
      </c>
    </row>
    <row r="16" spans="1:36" x14ac:dyDescent="0.2">
      <c r="A16" t="s">
        <v>719</v>
      </c>
      <c r="B16" t="s">
        <v>675</v>
      </c>
      <c r="C16" t="s">
        <v>720</v>
      </c>
      <c r="D16">
        <v>1.1000000000000001</v>
      </c>
      <c r="E16">
        <v>1.1000000000000001</v>
      </c>
      <c r="F16">
        <v>5.6</v>
      </c>
      <c r="G16">
        <v>160</v>
      </c>
      <c r="H16">
        <v>130</v>
      </c>
      <c r="I16">
        <v>490</v>
      </c>
      <c r="K16" t="s">
        <v>51</v>
      </c>
    </row>
    <row r="17" spans="1:34" x14ac:dyDescent="0.2">
      <c r="A17" t="s">
        <v>721</v>
      </c>
      <c r="B17" t="s">
        <v>675</v>
      </c>
      <c r="D17">
        <v>1.2</v>
      </c>
      <c r="E17">
        <v>1.2</v>
      </c>
      <c r="F17">
        <v>6.3</v>
      </c>
      <c r="G17">
        <v>100</v>
      </c>
      <c r="H17">
        <v>150</v>
      </c>
      <c r="I17">
        <v>1000</v>
      </c>
    </row>
    <row r="18" spans="1:34" x14ac:dyDescent="0.2">
      <c r="A18" t="s">
        <v>722</v>
      </c>
      <c r="B18" t="s">
        <v>675</v>
      </c>
      <c r="D18">
        <v>1.2</v>
      </c>
      <c r="E18">
        <v>1.2</v>
      </c>
      <c r="F18">
        <v>5.6</v>
      </c>
      <c r="G18">
        <v>210</v>
      </c>
      <c r="H18">
        <v>120</v>
      </c>
      <c r="I18">
        <v>260</v>
      </c>
      <c r="J18">
        <v>110</v>
      </c>
      <c r="AH18" t="s">
        <v>682</v>
      </c>
    </row>
    <row r="19" spans="1:34" x14ac:dyDescent="0.2">
      <c r="A19" t="s">
        <v>723</v>
      </c>
      <c r="B19" t="s">
        <v>688</v>
      </c>
      <c r="C19" t="s">
        <v>676</v>
      </c>
      <c r="D19">
        <v>0.4</v>
      </c>
      <c r="E19">
        <v>0.4</v>
      </c>
      <c r="F19">
        <v>5.7</v>
      </c>
      <c r="G19">
        <v>60</v>
      </c>
      <c r="H19">
        <v>20</v>
      </c>
      <c r="I19">
        <v>30</v>
      </c>
      <c r="J19">
        <v>20</v>
      </c>
      <c r="AH19" t="s">
        <v>689</v>
      </c>
    </row>
    <row r="20" spans="1:34" x14ac:dyDescent="0.2">
      <c r="A20" t="s">
        <v>724</v>
      </c>
      <c r="B20" t="s">
        <v>675</v>
      </c>
      <c r="D20">
        <v>1.2</v>
      </c>
      <c r="E20">
        <v>1.2</v>
      </c>
      <c r="F20">
        <v>5.6</v>
      </c>
      <c r="G20">
        <v>210</v>
      </c>
      <c r="H20">
        <v>120</v>
      </c>
      <c r="I20">
        <v>260</v>
      </c>
      <c r="J20">
        <v>80</v>
      </c>
      <c r="AH20" t="s">
        <v>687</v>
      </c>
    </row>
    <row r="21" spans="1:34" x14ac:dyDescent="0.2">
      <c r="A21" t="s">
        <v>691</v>
      </c>
      <c r="B21" t="s">
        <v>692</v>
      </c>
      <c r="C21" t="s">
        <v>676</v>
      </c>
      <c r="D21">
        <v>1</v>
      </c>
      <c r="E21">
        <v>1</v>
      </c>
      <c r="F21">
        <v>5.8</v>
      </c>
      <c r="G21">
        <v>229</v>
      </c>
      <c r="H21">
        <v>80</v>
      </c>
      <c r="I21">
        <v>62</v>
      </c>
      <c r="J21">
        <v>17</v>
      </c>
      <c r="O21">
        <v>28</v>
      </c>
      <c r="P21">
        <v>62</v>
      </c>
      <c r="AH21" t="s">
        <v>693</v>
      </c>
    </row>
    <row r="22" spans="1:34" x14ac:dyDescent="0.2">
      <c r="A22" t="s">
        <v>725</v>
      </c>
      <c r="B22" t="s">
        <v>675</v>
      </c>
      <c r="D22">
        <v>1.2</v>
      </c>
      <c r="E22">
        <v>1.2</v>
      </c>
      <c r="F22">
        <v>5.6</v>
      </c>
      <c r="G22">
        <v>140</v>
      </c>
      <c r="H22">
        <v>80</v>
      </c>
      <c r="I22">
        <v>190</v>
      </c>
      <c r="J22">
        <v>80</v>
      </c>
      <c r="AH22" t="s">
        <v>682</v>
      </c>
    </row>
    <row r="23" spans="1:34" x14ac:dyDescent="0.2">
      <c r="A23" t="s">
        <v>726</v>
      </c>
      <c r="B23" t="s">
        <v>675</v>
      </c>
      <c r="C23" t="s">
        <v>717</v>
      </c>
      <c r="D23">
        <v>1.2</v>
      </c>
      <c r="E23">
        <v>1.2</v>
      </c>
      <c r="F23">
        <v>5.6</v>
      </c>
      <c r="G23">
        <v>210</v>
      </c>
      <c r="H23">
        <v>120</v>
      </c>
      <c r="I23">
        <v>260</v>
      </c>
    </row>
    <row r="24" spans="1:34" x14ac:dyDescent="0.2">
      <c r="A24" t="s">
        <v>727</v>
      </c>
      <c r="B24" t="s">
        <v>688</v>
      </c>
      <c r="C24" t="s">
        <v>690</v>
      </c>
      <c r="D24">
        <v>1.2</v>
      </c>
      <c r="E24">
        <v>1.2</v>
      </c>
      <c r="F24">
        <v>6</v>
      </c>
      <c r="G24">
        <v>140</v>
      </c>
      <c r="H24">
        <v>90</v>
      </c>
      <c r="I24">
        <v>110</v>
      </c>
      <c r="J24">
        <v>40</v>
      </c>
      <c r="M24">
        <v>0.6</v>
      </c>
      <c r="AH24" t="s">
        <v>696</v>
      </c>
    </row>
    <row r="25" spans="1:34" x14ac:dyDescent="0.2">
      <c r="A25" t="s">
        <v>728</v>
      </c>
      <c r="B25" t="s">
        <v>688</v>
      </c>
      <c r="C25" t="s">
        <v>690</v>
      </c>
      <c r="D25">
        <v>1</v>
      </c>
      <c r="E25">
        <v>1</v>
      </c>
      <c r="F25">
        <v>6</v>
      </c>
      <c r="G25">
        <v>160</v>
      </c>
      <c r="H25">
        <v>90</v>
      </c>
      <c r="I25">
        <v>110</v>
      </c>
      <c r="J25">
        <v>40</v>
      </c>
      <c r="N25">
        <v>0.64</v>
      </c>
      <c r="AH25" t="s">
        <v>696</v>
      </c>
    </row>
    <row r="26" spans="1:34" x14ac:dyDescent="0.2">
      <c r="A26" t="s">
        <v>729</v>
      </c>
      <c r="B26" t="s">
        <v>675</v>
      </c>
      <c r="C26" t="s">
        <v>717</v>
      </c>
      <c r="D26">
        <v>1.2</v>
      </c>
      <c r="E26">
        <v>1.2</v>
      </c>
      <c r="F26">
        <v>5.6</v>
      </c>
      <c r="G26">
        <v>210</v>
      </c>
      <c r="H26">
        <v>120</v>
      </c>
      <c r="I26">
        <v>260</v>
      </c>
      <c r="J26">
        <v>80</v>
      </c>
      <c r="U26">
        <v>200</v>
      </c>
      <c r="AH26" t="s">
        <v>687</v>
      </c>
    </row>
    <row r="27" spans="1:34" x14ac:dyDescent="0.2">
      <c r="A27" t="s">
        <v>730</v>
      </c>
      <c r="B27" t="s">
        <v>641</v>
      </c>
      <c r="D27">
        <v>1.5</v>
      </c>
      <c r="E27">
        <v>1.5</v>
      </c>
      <c r="F27">
        <v>6.5</v>
      </c>
      <c r="G27">
        <v>300</v>
      </c>
      <c r="H27">
        <v>300</v>
      </c>
      <c r="I27">
        <v>400</v>
      </c>
    </row>
    <row r="28" spans="1:34" x14ac:dyDescent="0.2">
      <c r="A28" t="s">
        <v>731</v>
      </c>
      <c r="B28" t="s">
        <v>641</v>
      </c>
      <c r="D28">
        <v>1.5</v>
      </c>
      <c r="E28">
        <v>1.5</v>
      </c>
      <c r="F28">
        <v>6.5</v>
      </c>
      <c r="G28">
        <v>300</v>
      </c>
      <c r="H28">
        <v>300</v>
      </c>
      <c r="I28">
        <v>400</v>
      </c>
    </row>
    <row r="29" spans="1:34" x14ac:dyDescent="0.2">
      <c r="A29" t="s">
        <v>732</v>
      </c>
      <c r="B29" t="s">
        <v>697</v>
      </c>
      <c r="C29" t="s">
        <v>690</v>
      </c>
      <c r="D29">
        <v>1.5</v>
      </c>
      <c r="E29">
        <v>1.2</v>
      </c>
      <c r="F29">
        <v>6.2</v>
      </c>
      <c r="G29">
        <v>1536</v>
      </c>
      <c r="H29">
        <v>150</v>
      </c>
      <c r="I29">
        <v>220</v>
      </c>
      <c r="L29">
        <v>0.84</v>
      </c>
    </row>
    <row r="30" spans="1:34" x14ac:dyDescent="0.2">
      <c r="A30" t="s">
        <v>733</v>
      </c>
      <c r="B30" t="s">
        <v>698</v>
      </c>
      <c r="C30" t="s">
        <v>690</v>
      </c>
      <c r="D30">
        <v>1.5</v>
      </c>
      <c r="E30">
        <v>1.1000000000000001</v>
      </c>
      <c r="F30">
        <v>6.5</v>
      </c>
      <c r="G30">
        <v>210</v>
      </c>
      <c r="H30">
        <v>240</v>
      </c>
      <c r="I30">
        <v>390</v>
      </c>
    </row>
    <row r="31" spans="1:34" x14ac:dyDescent="0.2">
      <c r="A31" t="s">
        <v>734</v>
      </c>
      <c r="B31" t="s">
        <v>699</v>
      </c>
      <c r="C31" t="s">
        <v>676</v>
      </c>
      <c r="D31">
        <v>0.6</v>
      </c>
      <c r="E31">
        <v>0.6</v>
      </c>
      <c r="F31">
        <v>5.8</v>
      </c>
      <c r="G31">
        <v>100</v>
      </c>
      <c r="H31">
        <v>60</v>
      </c>
      <c r="I31">
        <v>110</v>
      </c>
      <c r="J31">
        <v>100</v>
      </c>
      <c r="U31">
        <v>200</v>
      </c>
      <c r="AG31" t="s">
        <v>679</v>
      </c>
      <c r="AH31" t="s">
        <v>680</v>
      </c>
    </row>
    <row r="32" spans="1:34" x14ac:dyDescent="0.2">
      <c r="A32" t="s">
        <v>735</v>
      </c>
      <c r="B32" t="s">
        <v>699</v>
      </c>
      <c r="C32" t="s">
        <v>676</v>
      </c>
      <c r="D32">
        <v>0.6</v>
      </c>
      <c r="E32">
        <v>0.6</v>
      </c>
      <c r="F32">
        <v>5.8</v>
      </c>
      <c r="G32">
        <v>100</v>
      </c>
      <c r="H32">
        <v>60</v>
      </c>
      <c r="I32">
        <v>110</v>
      </c>
      <c r="J32">
        <v>100</v>
      </c>
      <c r="U32">
        <v>0</v>
      </c>
      <c r="AG32" t="s">
        <v>679</v>
      </c>
      <c r="AH32" t="s">
        <v>680</v>
      </c>
    </row>
    <row r="33" spans="1:36" x14ac:dyDescent="0.2">
      <c r="A33" t="s">
        <v>736</v>
      </c>
      <c r="B33" t="s">
        <v>675</v>
      </c>
      <c r="D33">
        <v>1.3</v>
      </c>
      <c r="E33">
        <v>1.3</v>
      </c>
      <c r="F33">
        <v>5.6</v>
      </c>
      <c r="G33">
        <v>250</v>
      </c>
      <c r="H33">
        <v>130</v>
      </c>
      <c r="I33">
        <v>320</v>
      </c>
      <c r="J33">
        <v>110</v>
      </c>
      <c r="AH33" t="s">
        <v>694</v>
      </c>
    </row>
    <row r="34" spans="1:36" x14ac:dyDescent="0.2">
      <c r="A34" t="s">
        <v>737</v>
      </c>
      <c r="B34" t="s">
        <v>675</v>
      </c>
      <c r="C34" t="s">
        <v>717</v>
      </c>
      <c r="D34">
        <v>1.3</v>
      </c>
      <c r="E34">
        <v>1.3</v>
      </c>
      <c r="F34">
        <v>5.6</v>
      </c>
      <c r="G34">
        <v>250</v>
      </c>
      <c r="H34">
        <v>130</v>
      </c>
      <c r="I34">
        <v>320</v>
      </c>
      <c r="M34">
        <v>0.8</v>
      </c>
      <c r="AJ34" t="s">
        <v>695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886F-299A-45D5-A201-329B7648C19B}">
  <sheetPr>
    <tabColor theme="1"/>
  </sheetPr>
  <dimension ref="A1:AM231"/>
  <sheetViews>
    <sheetView topLeftCell="A205" workbookViewId="0">
      <selection activeCell="A79" sqref="A79:XFD79"/>
    </sheetView>
  </sheetViews>
  <sheetFormatPr baseColWidth="10" defaultRowHeight="14.25" x14ac:dyDescent="0.2"/>
  <cols>
    <col min="1" max="1" width="11.85546875" bestFit="1" customWidth="1"/>
    <col min="2" max="2" width="43.5703125" bestFit="1" customWidth="1"/>
    <col min="3" max="3" width="13.140625" bestFit="1" customWidth="1"/>
    <col min="4" max="4" width="9.5703125" bestFit="1" customWidth="1"/>
    <col min="5" max="5" width="10.28515625" bestFit="1" customWidth="1"/>
    <col min="6" max="6" width="7.28515625" bestFit="1" customWidth="1"/>
    <col min="7" max="7" width="9.5703125" bestFit="1" customWidth="1"/>
    <col min="8" max="8" width="21.7109375" bestFit="1" customWidth="1"/>
    <col min="9" max="9" width="21.42578125" bestFit="1" customWidth="1"/>
    <col min="10" max="10" width="9.7109375" bestFit="1" customWidth="1"/>
    <col min="11" max="12" width="7" bestFit="1" customWidth="1"/>
    <col min="13" max="13" width="8.28515625" bestFit="1" customWidth="1"/>
    <col min="14" max="14" width="8" bestFit="1" customWidth="1"/>
    <col min="15" max="15" width="6.85546875" bestFit="1" customWidth="1"/>
    <col min="16" max="16" width="7.42578125" bestFit="1" customWidth="1"/>
    <col min="17" max="17" width="6.85546875" bestFit="1" customWidth="1"/>
    <col min="18" max="18" width="7" bestFit="1" customWidth="1"/>
    <col min="19" max="19" width="6" bestFit="1" customWidth="1"/>
    <col min="20" max="20" width="7" bestFit="1" customWidth="1"/>
    <col min="21" max="21" width="6" bestFit="1" customWidth="1"/>
    <col min="22" max="22" width="7" bestFit="1" customWidth="1"/>
    <col min="23" max="23" width="6" bestFit="1" customWidth="1"/>
    <col min="24" max="24" width="7" bestFit="1" customWidth="1"/>
    <col min="25" max="25" width="5.140625" bestFit="1" customWidth="1"/>
    <col min="26" max="26" width="10" bestFit="1" customWidth="1"/>
    <col min="27" max="27" width="6.28515625" bestFit="1" customWidth="1"/>
    <col min="28" max="28" width="12" bestFit="1" customWidth="1"/>
    <col min="29" max="29" width="9.140625" bestFit="1" customWidth="1"/>
    <col min="30" max="35" width="12" bestFit="1" customWidth="1"/>
    <col min="36" max="36" width="8.42578125" bestFit="1" customWidth="1"/>
    <col min="37" max="37" width="15.28515625" bestFit="1" customWidth="1"/>
    <col min="38" max="38" width="10.85546875" bestFit="1" customWidth="1"/>
    <col min="39" max="39" width="9.85546875" customWidth="1"/>
  </cols>
  <sheetData>
    <row r="1" spans="1:39" x14ac:dyDescent="0.2">
      <c r="A1" t="s">
        <v>32</v>
      </c>
      <c r="B1" t="s">
        <v>301</v>
      </c>
      <c r="C1" t="s">
        <v>700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12</v>
      </c>
    </row>
    <row r="2" spans="1:39" x14ac:dyDescent="0.2">
      <c r="A2" t="s">
        <v>337</v>
      </c>
      <c r="B2" t="s">
        <v>338</v>
      </c>
      <c r="D2" t="s">
        <v>339</v>
      </c>
      <c r="E2" t="s">
        <v>339</v>
      </c>
      <c r="G2">
        <v>0</v>
      </c>
      <c r="H2" t="s">
        <v>340</v>
      </c>
      <c r="I2">
        <v>57</v>
      </c>
      <c r="K2">
        <v>10.4</v>
      </c>
      <c r="L2">
        <v>7.5999999999999988</v>
      </c>
      <c r="M2">
        <v>18</v>
      </c>
      <c r="N2">
        <v>0</v>
      </c>
      <c r="O2">
        <v>22</v>
      </c>
      <c r="P2">
        <v>3.3</v>
      </c>
      <c r="Q2">
        <v>0</v>
      </c>
      <c r="R2">
        <v>20.399999999999999</v>
      </c>
      <c r="S2">
        <v>0.01</v>
      </c>
      <c r="T2">
        <v>0.05</v>
      </c>
      <c r="U2">
        <v>0.01</v>
      </c>
      <c r="V2">
        <v>0.02</v>
      </c>
      <c r="W2">
        <v>0.04</v>
      </c>
      <c r="X2">
        <v>2E-3</v>
      </c>
      <c r="Y2">
        <v>0</v>
      </c>
      <c r="AA2">
        <v>0</v>
      </c>
      <c r="AB2">
        <v>0.7</v>
      </c>
      <c r="AC2">
        <v>1.5</v>
      </c>
      <c r="AD2">
        <v>2.2000000000000002</v>
      </c>
      <c r="AE2">
        <v>2.8</v>
      </c>
      <c r="AF2">
        <v>13</v>
      </c>
      <c r="AG2">
        <v>53</v>
      </c>
      <c r="AH2">
        <v>95</v>
      </c>
      <c r="AI2">
        <v>163</v>
      </c>
      <c r="AJ2">
        <v>0</v>
      </c>
      <c r="AM2" s="6">
        <v>45601</v>
      </c>
    </row>
    <row r="3" spans="1:39" x14ac:dyDescent="0.2">
      <c r="A3" t="s">
        <v>341</v>
      </c>
      <c r="B3" t="s">
        <v>342</v>
      </c>
      <c r="D3" t="s">
        <v>339</v>
      </c>
      <c r="F3" t="s">
        <v>339</v>
      </c>
      <c r="G3">
        <v>0</v>
      </c>
      <c r="H3" t="s">
        <v>340</v>
      </c>
      <c r="I3">
        <v>57</v>
      </c>
      <c r="K3">
        <v>10.4</v>
      </c>
      <c r="L3">
        <v>7.5999999999999988</v>
      </c>
      <c r="M3">
        <v>18</v>
      </c>
      <c r="N3">
        <v>0</v>
      </c>
      <c r="O3">
        <v>22</v>
      </c>
      <c r="P3">
        <v>3.3</v>
      </c>
      <c r="Q3">
        <v>0</v>
      </c>
      <c r="AB3">
        <v>0.7</v>
      </c>
      <c r="AC3">
        <v>1.4</v>
      </c>
      <c r="AD3">
        <v>2.1</v>
      </c>
      <c r="AE3">
        <v>2.7</v>
      </c>
      <c r="AF3">
        <v>13</v>
      </c>
      <c r="AG3">
        <v>53</v>
      </c>
      <c r="AH3">
        <v>95</v>
      </c>
      <c r="AI3">
        <v>163</v>
      </c>
      <c r="AM3" s="6">
        <v>45601</v>
      </c>
    </row>
    <row r="4" spans="1:39" x14ac:dyDescent="0.2">
      <c r="A4" t="s">
        <v>337</v>
      </c>
      <c r="B4" t="s">
        <v>343</v>
      </c>
      <c r="D4" t="s">
        <v>339</v>
      </c>
      <c r="G4">
        <v>0</v>
      </c>
      <c r="H4" t="s">
        <v>344</v>
      </c>
      <c r="I4">
        <v>83</v>
      </c>
      <c r="K4">
        <v>15</v>
      </c>
      <c r="L4">
        <v>3</v>
      </c>
      <c r="M4">
        <v>18</v>
      </c>
      <c r="N4">
        <v>0</v>
      </c>
      <c r="O4">
        <v>20</v>
      </c>
      <c r="P4">
        <v>0</v>
      </c>
      <c r="Q4">
        <v>12</v>
      </c>
      <c r="R4">
        <v>0</v>
      </c>
      <c r="S4">
        <v>0.1</v>
      </c>
      <c r="T4">
        <v>0.05</v>
      </c>
      <c r="U4">
        <v>0.02</v>
      </c>
      <c r="V4">
        <v>0.02</v>
      </c>
      <c r="W4">
        <v>0.05</v>
      </c>
      <c r="X4">
        <v>1E-3</v>
      </c>
      <c r="Y4">
        <v>0</v>
      </c>
      <c r="AA4">
        <v>0</v>
      </c>
      <c r="AB4">
        <v>0.7</v>
      </c>
      <c r="AC4">
        <v>1.2</v>
      </c>
      <c r="AD4">
        <v>2</v>
      </c>
      <c r="AE4">
        <v>2.6</v>
      </c>
      <c r="AH4">
        <v>49</v>
      </c>
      <c r="AI4">
        <v>87</v>
      </c>
      <c r="AJ4">
        <v>0</v>
      </c>
      <c r="AM4" s="6">
        <v>45601</v>
      </c>
    </row>
    <row r="5" spans="1:39" x14ac:dyDescent="0.2">
      <c r="A5" t="s">
        <v>337</v>
      </c>
      <c r="B5" t="s">
        <v>345</v>
      </c>
      <c r="D5" t="s">
        <v>339</v>
      </c>
      <c r="E5" t="s">
        <v>339</v>
      </c>
      <c r="F5" t="s">
        <v>339</v>
      </c>
      <c r="G5">
        <v>0</v>
      </c>
      <c r="H5" t="s">
        <v>346</v>
      </c>
      <c r="I5">
        <v>46</v>
      </c>
      <c r="K5">
        <v>9.1999999999999993</v>
      </c>
      <c r="L5">
        <v>10.8</v>
      </c>
      <c r="M5">
        <v>20</v>
      </c>
      <c r="N5">
        <v>0</v>
      </c>
      <c r="O5">
        <v>16</v>
      </c>
      <c r="P5">
        <v>2</v>
      </c>
      <c r="Q5">
        <v>0</v>
      </c>
      <c r="R5">
        <v>27.6</v>
      </c>
      <c r="S5">
        <v>7.4999999999999983E-2</v>
      </c>
      <c r="T5">
        <v>0.05</v>
      </c>
      <c r="U5">
        <v>0.01</v>
      </c>
      <c r="V5">
        <v>0.02</v>
      </c>
      <c r="W5">
        <v>0.03</v>
      </c>
      <c r="X5">
        <v>1E-3</v>
      </c>
      <c r="Y5">
        <v>0</v>
      </c>
      <c r="AA5">
        <v>0</v>
      </c>
      <c r="AB5">
        <v>0.8</v>
      </c>
      <c r="AC5">
        <v>1.6</v>
      </c>
      <c r="AD5">
        <v>2.4</v>
      </c>
      <c r="AE5">
        <v>3.1</v>
      </c>
      <c r="AF5">
        <v>14</v>
      </c>
      <c r="AG5">
        <v>59</v>
      </c>
      <c r="AH5">
        <v>106</v>
      </c>
      <c r="AI5">
        <v>183</v>
      </c>
      <c r="AJ5">
        <v>0</v>
      </c>
      <c r="AM5" s="6">
        <v>45601</v>
      </c>
    </row>
    <row r="6" spans="1:39" x14ac:dyDescent="0.2">
      <c r="A6" t="s">
        <v>341</v>
      </c>
      <c r="B6" t="s">
        <v>347</v>
      </c>
      <c r="D6" t="s">
        <v>339</v>
      </c>
      <c r="F6" t="s">
        <v>339</v>
      </c>
      <c r="G6">
        <v>0</v>
      </c>
      <c r="H6" t="s">
        <v>348</v>
      </c>
      <c r="I6">
        <v>42</v>
      </c>
      <c r="K6">
        <v>8.4</v>
      </c>
      <c r="L6">
        <v>11.6</v>
      </c>
      <c r="M6">
        <v>20</v>
      </c>
      <c r="N6">
        <v>0</v>
      </c>
      <c r="O6">
        <v>16</v>
      </c>
      <c r="P6">
        <v>1.5</v>
      </c>
      <c r="Q6">
        <v>0</v>
      </c>
      <c r="S6">
        <v>0.1</v>
      </c>
      <c r="T6">
        <v>0.05</v>
      </c>
      <c r="U6">
        <v>2.5000000000000001E-2</v>
      </c>
      <c r="V6">
        <v>2.5000000000000001E-2</v>
      </c>
      <c r="W6">
        <v>0.01</v>
      </c>
      <c r="X6">
        <v>2.5000000000000001E-3</v>
      </c>
      <c r="AB6">
        <v>0.8</v>
      </c>
      <c r="AC6">
        <v>1.5</v>
      </c>
      <c r="AD6">
        <v>2.2999999999999998</v>
      </c>
      <c r="AE6">
        <v>3</v>
      </c>
      <c r="AF6">
        <v>13</v>
      </c>
      <c r="AG6">
        <v>52</v>
      </c>
      <c r="AH6">
        <v>95</v>
      </c>
      <c r="AI6">
        <v>165</v>
      </c>
      <c r="AM6" s="6">
        <v>45601</v>
      </c>
    </row>
    <row r="7" spans="1:39" x14ac:dyDescent="0.2">
      <c r="A7" t="s">
        <v>337</v>
      </c>
      <c r="B7" t="s">
        <v>349</v>
      </c>
      <c r="D7" t="s">
        <v>339</v>
      </c>
      <c r="E7" t="s">
        <v>339</v>
      </c>
      <c r="F7" t="s">
        <v>339</v>
      </c>
      <c r="G7">
        <v>0</v>
      </c>
      <c r="H7" t="s">
        <v>350</v>
      </c>
      <c r="I7">
        <v>39</v>
      </c>
      <c r="K7">
        <v>7.5</v>
      </c>
      <c r="L7">
        <v>11.5</v>
      </c>
      <c r="M7">
        <v>19</v>
      </c>
      <c r="N7">
        <v>0</v>
      </c>
      <c r="O7">
        <v>15</v>
      </c>
      <c r="P7">
        <v>2</v>
      </c>
      <c r="Q7">
        <v>0</v>
      </c>
      <c r="R7">
        <v>36</v>
      </c>
      <c r="S7">
        <v>7.0000000000000007E-2</v>
      </c>
      <c r="T7">
        <v>0.05</v>
      </c>
      <c r="U7">
        <v>0.01</v>
      </c>
      <c r="V7">
        <v>0.03</v>
      </c>
      <c r="W7">
        <v>0.01</v>
      </c>
      <c r="X7">
        <v>1E-3</v>
      </c>
      <c r="Y7">
        <v>0</v>
      </c>
      <c r="AA7">
        <v>0</v>
      </c>
      <c r="AB7">
        <v>0.9</v>
      </c>
      <c r="AC7">
        <v>1.7</v>
      </c>
      <c r="AD7">
        <v>2.4</v>
      </c>
      <c r="AE7">
        <v>3.1</v>
      </c>
      <c r="AH7">
        <v>102</v>
      </c>
      <c r="AJ7">
        <v>0</v>
      </c>
      <c r="AM7" s="6">
        <v>45601</v>
      </c>
    </row>
    <row r="8" spans="1:39" x14ac:dyDescent="0.2">
      <c r="A8" t="s">
        <v>337</v>
      </c>
      <c r="B8" t="s">
        <v>351</v>
      </c>
      <c r="D8" t="s">
        <v>339</v>
      </c>
      <c r="E8" t="s">
        <v>339</v>
      </c>
      <c r="F8" t="s">
        <v>339</v>
      </c>
      <c r="G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</v>
      </c>
      <c r="Q8">
        <v>0</v>
      </c>
      <c r="R8">
        <v>24.9</v>
      </c>
      <c r="S8">
        <v>0.9</v>
      </c>
      <c r="T8">
        <v>2.5</v>
      </c>
      <c r="U8">
        <v>0.5</v>
      </c>
      <c r="V8">
        <v>0.9</v>
      </c>
      <c r="W8">
        <v>1.5</v>
      </c>
      <c r="X8">
        <v>0.05</v>
      </c>
      <c r="Y8">
        <v>0</v>
      </c>
      <c r="AA8">
        <v>0</v>
      </c>
      <c r="AB8">
        <v>0.4</v>
      </c>
      <c r="AJ8">
        <v>0</v>
      </c>
      <c r="AM8" s="6">
        <v>45601</v>
      </c>
    </row>
    <row r="9" spans="1:39" x14ac:dyDescent="0.2">
      <c r="A9" t="s">
        <v>337</v>
      </c>
      <c r="B9" t="s">
        <v>352</v>
      </c>
      <c r="D9" t="s">
        <v>339</v>
      </c>
      <c r="E9" t="s">
        <v>339</v>
      </c>
      <c r="F9" t="s">
        <v>339</v>
      </c>
      <c r="G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9</v>
      </c>
      <c r="Y9">
        <v>0</v>
      </c>
      <c r="AA9">
        <v>0</v>
      </c>
      <c r="AB9">
        <v>0.3</v>
      </c>
      <c r="AJ9">
        <v>0</v>
      </c>
      <c r="AM9" s="6">
        <v>45601</v>
      </c>
    </row>
    <row r="10" spans="1:39" x14ac:dyDescent="0.2">
      <c r="A10" t="s">
        <v>337</v>
      </c>
      <c r="B10" t="s">
        <v>353</v>
      </c>
      <c r="D10" t="s">
        <v>339</v>
      </c>
      <c r="E10" t="s">
        <v>339</v>
      </c>
      <c r="F10" t="s">
        <v>339</v>
      </c>
      <c r="G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</v>
      </c>
      <c r="Y10">
        <v>0</v>
      </c>
      <c r="AA10">
        <v>0</v>
      </c>
      <c r="AB10">
        <v>0.1</v>
      </c>
      <c r="AJ10">
        <v>0</v>
      </c>
      <c r="AM10" s="6">
        <v>45601</v>
      </c>
    </row>
    <row r="11" spans="1:39" x14ac:dyDescent="0.2">
      <c r="A11" t="s">
        <v>337</v>
      </c>
      <c r="B11" t="s">
        <v>354</v>
      </c>
      <c r="D11" t="s">
        <v>339</v>
      </c>
      <c r="E11" t="s">
        <v>339</v>
      </c>
      <c r="F11" t="s">
        <v>339</v>
      </c>
      <c r="G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Y11">
        <v>0</v>
      </c>
      <c r="AA11">
        <v>0</v>
      </c>
      <c r="AB11">
        <v>0.2</v>
      </c>
      <c r="AJ11">
        <v>0</v>
      </c>
      <c r="AM11" s="6">
        <v>45601</v>
      </c>
    </row>
    <row r="12" spans="1:39" x14ac:dyDescent="0.2">
      <c r="A12" t="s">
        <v>337</v>
      </c>
      <c r="B12" t="s">
        <v>355</v>
      </c>
      <c r="D12" t="s">
        <v>339</v>
      </c>
      <c r="E12" t="s">
        <v>339</v>
      </c>
      <c r="F12" t="s">
        <v>339</v>
      </c>
      <c r="G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</v>
      </c>
      <c r="Y12">
        <v>0</v>
      </c>
      <c r="AA12">
        <v>0</v>
      </c>
      <c r="AB12">
        <v>0.2</v>
      </c>
      <c r="AJ12">
        <v>0</v>
      </c>
      <c r="AM12" s="6">
        <v>45601</v>
      </c>
    </row>
    <row r="13" spans="1:39" x14ac:dyDescent="0.2">
      <c r="A13" t="s">
        <v>337</v>
      </c>
      <c r="B13" t="s">
        <v>356</v>
      </c>
      <c r="D13" t="s">
        <v>339</v>
      </c>
      <c r="E13" t="s">
        <v>339</v>
      </c>
      <c r="F13" t="s">
        <v>339</v>
      </c>
      <c r="G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</v>
      </c>
      <c r="Y13">
        <v>0</v>
      </c>
      <c r="AA13">
        <v>0</v>
      </c>
      <c r="AB13">
        <v>0.3</v>
      </c>
      <c r="AJ13">
        <v>0</v>
      </c>
      <c r="AM13" s="6">
        <v>45601</v>
      </c>
    </row>
    <row r="14" spans="1:39" x14ac:dyDescent="0.2">
      <c r="A14" t="s">
        <v>341</v>
      </c>
      <c r="B14" t="s">
        <v>357</v>
      </c>
      <c r="D14" t="s">
        <v>339</v>
      </c>
      <c r="F14" t="s">
        <v>339</v>
      </c>
      <c r="G14">
        <v>0</v>
      </c>
      <c r="H14" t="s">
        <v>358</v>
      </c>
      <c r="I14">
        <v>50</v>
      </c>
      <c r="K14">
        <v>9</v>
      </c>
      <c r="L14">
        <v>9</v>
      </c>
      <c r="M14">
        <v>18</v>
      </c>
      <c r="N14">
        <v>0</v>
      </c>
      <c r="O14">
        <v>0</v>
      </c>
      <c r="P14">
        <v>0</v>
      </c>
      <c r="Q14">
        <v>0</v>
      </c>
      <c r="AB14">
        <v>0.6</v>
      </c>
      <c r="AC14">
        <v>1.2</v>
      </c>
      <c r="AD14">
        <v>1.8</v>
      </c>
      <c r="AE14">
        <v>2.4</v>
      </c>
      <c r="AF14">
        <v>10</v>
      </c>
      <c r="AG14">
        <v>45</v>
      </c>
      <c r="AH14">
        <v>85</v>
      </c>
      <c r="AI14">
        <v>159</v>
      </c>
      <c r="AM14" s="6">
        <v>45601</v>
      </c>
    </row>
    <row r="15" spans="1:39" x14ac:dyDescent="0.2">
      <c r="A15" t="s">
        <v>359</v>
      </c>
      <c r="B15" t="s">
        <v>360</v>
      </c>
      <c r="D15" t="s">
        <v>339</v>
      </c>
      <c r="E15" t="s">
        <v>339</v>
      </c>
      <c r="F15" t="s">
        <v>339</v>
      </c>
      <c r="G15">
        <v>8.5</v>
      </c>
      <c r="H15" t="s">
        <v>361</v>
      </c>
      <c r="I15">
        <v>100</v>
      </c>
      <c r="K15">
        <v>1.5</v>
      </c>
      <c r="L15">
        <v>0</v>
      </c>
      <c r="M15">
        <v>10</v>
      </c>
      <c r="N15">
        <v>4</v>
      </c>
      <c r="O15">
        <v>7</v>
      </c>
      <c r="P15">
        <v>0.2</v>
      </c>
      <c r="Q15">
        <v>0</v>
      </c>
      <c r="S15">
        <v>0.02</v>
      </c>
      <c r="T15">
        <v>0.01</v>
      </c>
      <c r="U15">
        <v>2E-3</v>
      </c>
      <c r="V15">
        <v>0.01</v>
      </c>
      <c r="W15">
        <v>2E-3</v>
      </c>
      <c r="X15">
        <v>1E-3</v>
      </c>
      <c r="AA15">
        <v>1.2</v>
      </c>
      <c r="AB15">
        <v>0.16</v>
      </c>
      <c r="AC15">
        <v>0.28999999999999998</v>
      </c>
      <c r="AD15">
        <v>0.44</v>
      </c>
      <c r="AE15">
        <v>0.54</v>
      </c>
      <c r="AF15">
        <v>2.6</v>
      </c>
      <c r="AG15">
        <v>10.7</v>
      </c>
      <c r="AH15">
        <v>19.5</v>
      </c>
      <c r="AI15">
        <v>35.1</v>
      </c>
      <c r="AM15" s="6">
        <v>45601</v>
      </c>
    </row>
    <row r="16" spans="1:39" x14ac:dyDescent="0.2">
      <c r="A16" t="s">
        <v>337</v>
      </c>
      <c r="B16" t="s">
        <v>362</v>
      </c>
      <c r="D16" t="s">
        <v>339</v>
      </c>
      <c r="E16" t="s">
        <v>339</v>
      </c>
      <c r="G16">
        <v>0</v>
      </c>
      <c r="H16" t="s">
        <v>363</v>
      </c>
      <c r="I16">
        <v>64</v>
      </c>
      <c r="K16">
        <v>10.3</v>
      </c>
      <c r="L16">
        <v>5.7</v>
      </c>
      <c r="M16">
        <v>16</v>
      </c>
      <c r="N16">
        <v>4</v>
      </c>
      <c r="O16">
        <v>25</v>
      </c>
      <c r="P16">
        <v>3</v>
      </c>
      <c r="Q16">
        <v>0</v>
      </c>
      <c r="R16">
        <v>15.3</v>
      </c>
      <c r="S16">
        <v>7.4999999999999983E-2</v>
      </c>
      <c r="T16">
        <v>0.05</v>
      </c>
      <c r="U16">
        <v>0.01</v>
      </c>
      <c r="V16">
        <v>0.02</v>
      </c>
      <c r="W16">
        <v>0.03</v>
      </c>
      <c r="X16">
        <v>1E-3</v>
      </c>
      <c r="Y16">
        <v>0</v>
      </c>
      <c r="AA16">
        <v>0</v>
      </c>
      <c r="AB16">
        <v>0.7</v>
      </c>
      <c r="AC16">
        <v>1.4</v>
      </c>
      <c r="AD16">
        <v>2.1</v>
      </c>
      <c r="AE16">
        <v>2.8</v>
      </c>
      <c r="AJ16">
        <v>0</v>
      </c>
      <c r="AM16" s="6">
        <v>45601</v>
      </c>
    </row>
    <row r="17" spans="1:39" x14ac:dyDescent="0.2">
      <c r="A17" t="s">
        <v>337</v>
      </c>
      <c r="B17" t="s">
        <v>364</v>
      </c>
      <c r="D17" t="s">
        <v>339</v>
      </c>
      <c r="E17" t="s">
        <v>339</v>
      </c>
      <c r="G17">
        <v>0</v>
      </c>
      <c r="H17" t="s">
        <v>365</v>
      </c>
      <c r="I17">
        <v>52</v>
      </c>
      <c r="K17">
        <v>12</v>
      </c>
      <c r="L17">
        <v>11</v>
      </c>
      <c r="M17">
        <v>23</v>
      </c>
      <c r="N17">
        <v>4</v>
      </c>
      <c r="O17">
        <v>11</v>
      </c>
      <c r="P17">
        <v>3</v>
      </c>
      <c r="Q17">
        <v>0</v>
      </c>
      <c r="R17">
        <v>12.9</v>
      </c>
      <c r="S17">
        <v>7.4999999999999983E-2</v>
      </c>
      <c r="T17">
        <v>0.05</v>
      </c>
      <c r="U17">
        <v>0.01</v>
      </c>
      <c r="V17">
        <v>0.02</v>
      </c>
      <c r="W17">
        <v>0.03</v>
      </c>
      <c r="X17">
        <v>1E-3</v>
      </c>
      <c r="Y17">
        <v>0</v>
      </c>
      <c r="AA17">
        <v>0</v>
      </c>
      <c r="AB17">
        <v>0.8</v>
      </c>
      <c r="AC17">
        <v>1.5</v>
      </c>
      <c r="AD17">
        <v>2.2000000000000002</v>
      </c>
      <c r="AE17">
        <v>2.9</v>
      </c>
      <c r="AJ17">
        <v>0</v>
      </c>
      <c r="AM17" s="6">
        <v>45601</v>
      </c>
    </row>
    <row r="18" spans="1:39" x14ac:dyDescent="0.2">
      <c r="A18" t="s">
        <v>366</v>
      </c>
      <c r="B18" t="s">
        <v>367</v>
      </c>
      <c r="D18" t="s">
        <v>339</v>
      </c>
      <c r="E18" t="s">
        <v>339</v>
      </c>
      <c r="F18" t="s">
        <v>339</v>
      </c>
      <c r="G18">
        <v>12</v>
      </c>
      <c r="M18">
        <v>12</v>
      </c>
      <c r="N18">
        <v>4</v>
      </c>
      <c r="O18">
        <v>6</v>
      </c>
      <c r="Q18">
        <v>0</v>
      </c>
      <c r="S18">
        <v>0.02</v>
      </c>
      <c r="T18">
        <v>1.2E-2</v>
      </c>
      <c r="U18">
        <v>4.0000000000000001E-3</v>
      </c>
      <c r="V18">
        <v>0.01</v>
      </c>
      <c r="W18">
        <v>4.0000000000000001E-3</v>
      </c>
      <c r="X18">
        <v>1E-3</v>
      </c>
      <c r="AA18">
        <v>1.18</v>
      </c>
      <c r="AB18">
        <v>0.1</v>
      </c>
      <c r="AC18">
        <v>0.2</v>
      </c>
      <c r="AD18">
        <v>0.3</v>
      </c>
      <c r="AE18">
        <v>0.4</v>
      </c>
      <c r="AF18">
        <v>2</v>
      </c>
      <c r="AG18">
        <v>12</v>
      </c>
      <c r="AH18">
        <v>15</v>
      </c>
      <c r="AI18">
        <v>42</v>
      </c>
      <c r="AJ18">
        <v>115</v>
      </c>
      <c r="AM18" s="6">
        <v>45601</v>
      </c>
    </row>
    <row r="19" spans="1:39" x14ac:dyDescent="0.2">
      <c r="A19" t="s">
        <v>337</v>
      </c>
      <c r="B19" t="s">
        <v>368</v>
      </c>
      <c r="D19" t="s">
        <v>339</v>
      </c>
      <c r="E19" t="s">
        <v>339</v>
      </c>
      <c r="F19" t="s">
        <v>339</v>
      </c>
      <c r="G19">
        <v>0</v>
      </c>
      <c r="H19" t="s">
        <v>369</v>
      </c>
      <c r="I19">
        <v>70</v>
      </c>
      <c r="K19">
        <v>10.5</v>
      </c>
      <c r="L19">
        <v>4.5</v>
      </c>
      <c r="M19">
        <v>15</v>
      </c>
      <c r="N19">
        <v>5</v>
      </c>
      <c r="O19">
        <v>30</v>
      </c>
      <c r="P19">
        <v>2</v>
      </c>
      <c r="Q19">
        <v>0</v>
      </c>
      <c r="R19">
        <v>12</v>
      </c>
      <c r="S19">
        <v>7.0000000000000007E-2</v>
      </c>
      <c r="T19">
        <v>0.05</v>
      </c>
      <c r="U19">
        <v>0.01</v>
      </c>
      <c r="V19">
        <v>0.03</v>
      </c>
      <c r="W19">
        <v>0.01</v>
      </c>
      <c r="X19">
        <v>1E-3</v>
      </c>
      <c r="Y19">
        <v>0</v>
      </c>
      <c r="AA19">
        <v>0</v>
      </c>
      <c r="AB19">
        <v>0.7</v>
      </c>
      <c r="AC19">
        <v>1.4</v>
      </c>
      <c r="AD19">
        <v>2</v>
      </c>
      <c r="AE19">
        <v>2.6</v>
      </c>
      <c r="AH19">
        <v>81</v>
      </c>
      <c r="AJ19">
        <v>0</v>
      </c>
      <c r="AM19" s="6">
        <v>45601</v>
      </c>
    </row>
    <row r="20" spans="1:39" x14ac:dyDescent="0.2">
      <c r="A20" t="s">
        <v>337</v>
      </c>
      <c r="B20" t="s">
        <v>370</v>
      </c>
      <c r="D20" t="s">
        <v>339</v>
      </c>
      <c r="E20" t="s">
        <v>339</v>
      </c>
      <c r="G20">
        <v>0</v>
      </c>
      <c r="H20" t="s">
        <v>371</v>
      </c>
      <c r="I20">
        <v>56</v>
      </c>
      <c r="K20">
        <v>5.6</v>
      </c>
      <c r="L20">
        <v>4.4000000000000004</v>
      </c>
      <c r="M20">
        <v>10</v>
      </c>
      <c r="N20">
        <v>5</v>
      </c>
      <c r="O20">
        <v>30</v>
      </c>
      <c r="P20">
        <v>3</v>
      </c>
      <c r="Q20">
        <v>0</v>
      </c>
      <c r="R20">
        <v>31.8</v>
      </c>
      <c r="S20">
        <v>7.4999999999999983E-2</v>
      </c>
      <c r="T20">
        <v>0.05</v>
      </c>
      <c r="U20">
        <v>0.01</v>
      </c>
      <c r="V20">
        <v>0.02</v>
      </c>
      <c r="W20">
        <v>0.03</v>
      </c>
      <c r="X20">
        <v>1E-3</v>
      </c>
      <c r="Y20">
        <v>0</v>
      </c>
      <c r="AA20">
        <v>0</v>
      </c>
      <c r="AB20">
        <v>0.7</v>
      </c>
      <c r="AC20">
        <v>1.4</v>
      </c>
      <c r="AD20">
        <v>2.1</v>
      </c>
      <c r="AE20">
        <v>2.7</v>
      </c>
      <c r="AJ20">
        <v>0</v>
      </c>
      <c r="AM20" s="6">
        <v>45601</v>
      </c>
    </row>
    <row r="21" spans="1:39" x14ac:dyDescent="0.2">
      <c r="A21" t="s">
        <v>372</v>
      </c>
      <c r="B21" t="s">
        <v>373</v>
      </c>
      <c r="D21" t="s">
        <v>339</v>
      </c>
      <c r="G21">
        <v>10</v>
      </c>
      <c r="H21" t="s">
        <v>374</v>
      </c>
      <c r="I21">
        <v>90</v>
      </c>
      <c r="K21">
        <v>9</v>
      </c>
      <c r="L21">
        <v>1</v>
      </c>
      <c r="M21">
        <v>20</v>
      </c>
      <c r="N21">
        <v>5</v>
      </c>
      <c r="O21">
        <v>30</v>
      </c>
      <c r="Q21">
        <v>0</v>
      </c>
      <c r="S21">
        <v>0.12</v>
      </c>
      <c r="T21">
        <v>0.06</v>
      </c>
      <c r="U21">
        <v>1.4999999999999999E-2</v>
      </c>
      <c r="V21">
        <v>0.02</v>
      </c>
      <c r="W21">
        <v>1.4999999999999999E-2</v>
      </c>
      <c r="X21">
        <v>0.01</v>
      </c>
      <c r="AA21" t="s">
        <v>375</v>
      </c>
      <c r="AB21">
        <v>0.50485436893203883</v>
      </c>
      <c r="AC21">
        <v>1</v>
      </c>
      <c r="AD21">
        <v>1.563106796116505</v>
      </c>
      <c r="AE21">
        <v>2.0582524271844647</v>
      </c>
      <c r="AF21">
        <v>9.5145631067961158</v>
      </c>
      <c r="AG21">
        <v>42.427184466019419</v>
      </c>
      <c r="AH21">
        <v>75.631067961165058</v>
      </c>
      <c r="AI21">
        <v>126.21359223300972</v>
      </c>
      <c r="AM21" s="6">
        <v>45601</v>
      </c>
    </row>
    <row r="22" spans="1:39" x14ac:dyDescent="0.2">
      <c r="A22" t="s">
        <v>376</v>
      </c>
      <c r="B22" t="s">
        <v>377</v>
      </c>
      <c r="D22" t="s">
        <v>339</v>
      </c>
      <c r="E22" t="s">
        <v>339</v>
      </c>
      <c r="F22" t="s">
        <v>339</v>
      </c>
      <c r="G22">
        <v>0</v>
      </c>
      <c r="H22" t="s">
        <v>378</v>
      </c>
      <c r="I22">
        <v>75</v>
      </c>
      <c r="K22">
        <v>11.3</v>
      </c>
      <c r="L22">
        <v>3.7</v>
      </c>
      <c r="M22">
        <v>15</v>
      </c>
      <c r="N22">
        <v>5</v>
      </c>
      <c r="O22">
        <v>30</v>
      </c>
      <c r="P22">
        <v>3</v>
      </c>
      <c r="Q22">
        <v>0</v>
      </c>
      <c r="R22">
        <v>6</v>
      </c>
      <c r="S22">
        <v>7.0000000000000007E-2</v>
      </c>
      <c r="T22">
        <v>0.04</v>
      </c>
      <c r="U22">
        <v>2.5000000000000001E-2</v>
      </c>
      <c r="V22">
        <v>2.5000000000000001E-2</v>
      </c>
      <c r="W22">
        <v>0.01</v>
      </c>
      <c r="X22">
        <v>4.0000000000000001E-3</v>
      </c>
      <c r="AB22">
        <v>0.7</v>
      </c>
      <c r="AC22">
        <v>1.3</v>
      </c>
      <c r="AD22">
        <v>1.9</v>
      </c>
      <c r="AE22">
        <v>2.6</v>
      </c>
      <c r="AF22">
        <v>12</v>
      </c>
      <c r="AG22">
        <v>45</v>
      </c>
      <c r="AH22">
        <v>80</v>
      </c>
      <c r="AI22">
        <v>133</v>
      </c>
      <c r="AM22" s="6">
        <v>45601</v>
      </c>
    </row>
    <row r="23" spans="1:39" x14ac:dyDescent="0.2">
      <c r="A23" t="s">
        <v>337</v>
      </c>
      <c r="B23" t="s">
        <v>379</v>
      </c>
      <c r="D23" t="s">
        <v>339</v>
      </c>
      <c r="E23" t="s">
        <v>339</v>
      </c>
      <c r="F23" t="s">
        <v>339</v>
      </c>
      <c r="G23">
        <v>0</v>
      </c>
      <c r="H23" t="s">
        <v>371</v>
      </c>
      <c r="I23">
        <v>56</v>
      </c>
      <c r="K23">
        <v>8.5</v>
      </c>
      <c r="L23">
        <v>6.5</v>
      </c>
      <c r="M23">
        <v>15</v>
      </c>
      <c r="N23">
        <v>5</v>
      </c>
      <c r="O23">
        <v>25</v>
      </c>
      <c r="P23">
        <v>2</v>
      </c>
      <c r="Q23">
        <v>0</v>
      </c>
      <c r="R23">
        <v>36.6</v>
      </c>
      <c r="S23">
        <v>7.4999999999999983E-2</v>
      </c>
      <c r="T23">
        <v>0.05</v>
      </c>
      <c r="U23">
        <v>0.01</v>
      </c>
      <c r="V23">
        <v>0.02</v>
      </c>
      <c r="W23">
        <v>0.03</v>
      </c>
      <c r="X23">
        <v>1E-3</v>
      </c>
      <c r="Y23">
        <v>0</v>
      </c>
      <c r="AA23">
        <v>0</v>
      </c>
      <c r="AB23">
        <v>0.7</v>
      </c>
      <c r="AC23">
        <v>1.4</v>
      </c>
      <c r="AD23">
        <v>2.1</v>
      </c>
      <c r="AE23">
        <v>2.7</v>
      </c>
      <c r="AF23">
        <v>12</v>
      </c>
      <c r="AG23">
        <v>53</v>
      </c>
      <c r="AH23">
        <v>93</v>
      </c>
      <c r="AI23">
        <v>159</v>
      </c>
      <c r="AJ23">
        <v>0</v>
      </c>
      <c r="AM23" s="6">
        <v>45601</v>
      </c>
    </row>
    <row r="24" spans="1:39" x14ac:dyDescent="0.2">
      <c r="A24" t="s">
        <v>341</v>
      </c>
      <c r="B24" t="s">
        <v>380</v>
      </c>
      <c r="D24" t="s">
        <v>339</v>
      </c>
      <c r="F24" t="s">
        <v>339</v>
      </c>
      <c r="G24">
        <v>0</v>
      </c>
      <c r="H24" t="s">
        <v>371</v>
      </c>
      <c r="I24">
        <v>56</v>
      </c>
      <c r="K24">
        <v>8.5</v>
      </c>
      <c r="L24">
        <v>6.5</v>
      </c>
      <c r="M24">
        <v>15</v>
      </c>
      <c r="N24">
        <v>5</v>
      </c>
      <c r="O24">
        <v>25</v>
      </c>
      <c r="P24">
        <v>2</v>
      </c>
      <c r="Q24">
        <v>0</v>
      </c>
      <c r="S24">
        <v>0.1</v>
      </c>
      <c r="T24">
        <v>0.05</v>
      </c>
      <c r="U24">
        <v>2.5000000000000001E-2</v>
      </c>
      <c r="V24">
        <v>2.5000000000000001E-2</v>
      </c>
      <c r="W24">
        <v>0.01</v>
      </c>
      <c r="X24">
        <v>2.5000000000000001E-3</v>
      </c>
      <c r="AB24">
        <v>0.7</v>
      </c>
      <c r="AC24">
        <v>1.4</v>
      </c>
      <c r="AD24">
        <v>2.1</v>
      </c>
      <c r="AE24">
        <v>2.7</v>
      </c>
      <c r="AF24">
        <v>12</v>
      </c>
      <c r="AG24">
        <v>48</v>
      </c>
      <c r="AH24">
        <v>87</v>
      </c>
      <c r="AI24">
        <v>150</v>
      </c>
      <c r="AM24" s="6">
        <v>45601</v>
      </c>
    </row>
    <row r="25" spans="1:39" x14ac:dyDescent="0.2">
      <c r="A25" t="s">
        <v>372</v>
      </c>
      <c r="B25" t="s">
        <v>381</v>
      </c>
      <c r="D25" t="s">
        <v>339</v>
      </c>
      <c r="G25">
        <v>0</v>
      </c>
      <c r="H25" t="s">
        <v>382</v>
      </c>
      <c r="I25">
        <v>66</v>
      </c>
      <c r="K25">
        <v>10.4</v>
      </c>
      <c r="L25">
        <v>5.2</v>
      </c>
      <c r="M25">
        <v>16</v>
      </c>
      <c r="N25">
        <v>5</v>
      </c>
      <c r="O25">
        <v>25</v>
      </c>
      <c r="P25">
        <v>3.4</v>
      </c>
      <c r="Q25">
        <v>0</v>
      </c>
      <c r="R25">
        <v>11</v>
      </c>
      <c r="S25">
        <v>0.1</v>
      </c>
      <c r="T25">
        <v>0.04</v>
      </c>
      <c r="U25">
        <v>0.01</v>
      </c>
      <c r="V25">
        <v>0.01</v>
      </c>
      <c r="W25">
        <v>0.01</v>
      </c>
      <c r="X25">
        <v>1E-3</v>
      </c>
      <c r="AA25" t="s">
        <v>375</v>
      </c>
      <c r="AB25">
        <v>0.71370623604073724</v>
      </c>
      <c r="AC25">
        <v>1.4</v>
      </c>
      <c r="AD25">
        <v>2.122765257379402</v>
      </c>
      <c r="AE25">
        <v>2.8823734464939572</v>
      </c>
      <c r="AF25">
        <v>13.556012575549431</v>
      </c>
      <c r="AG25">
        <v>57.664293850971504</v>
      </c>
      <c r="AH25">
        <v>101.79941098805281</v>
      </c>
      <c r="AI25">
        <v>170.38762679320766</v>
      </c>
      <c r="AM25" s="6">
        <v>45601</v>
      </c>
    </row>
    <row r="26" spans="1:39" x14ac:dyDescent="0.2">
      <c r="A26" t="s">
        <v>337</v>
      </c>
      <c r="B26" t="s">
        <v>383</v>
      </c>
      <c r="D26" t="s">
        <v>339</v>
      </c>
      <c r="E26" t="s">
        <v>339</v>
      </c>
      <c r="F26" t="s">
        <v>339</v>
      </c>
      <c r="G26">
        <v>0</v>
      </c>
      <c r="H26" t="s">
        <v>384</v>
      </c>
      <c r="I26">
        <v>33</v>
      </c>
      <c r="K26">
        <v>4</v>
      </c>
      <c r="L26">
        <v>8</v>
      </c>
      <c r="M26">
        <v>12</v>
      </c>
      <c r="N26">
        <v>5</v>
      </c>
      <c r="O26">
        <v>24</v>
      </c>
      <c r="P26">
        <v>2</v>
      </c>
      <c r="Q26">
        <v>0</v>
      </c>
      <c r="R26">
        <v>42</v>
      </c>
      <c r="S26">
        <v>7.0000000000000007E-2</v>
      </c>
      <c r="T26">
        <v>0.05</v>
      </c>
      <c r="U26">
        <v>0.01</v>
      </c>
      <c r="V26">
        <v>0.03</v>
      </c>
      <c r="W26">
        <v>0.01</v>
      </c>
      <c r="X26">
        <v>1E-3</v>
      </c>
      <c r="Y26">
        <v>0</v>
      </c>
      <c r="AA26">
        <v>0</v>
      </c>
      <c r="AB26">
        <v>0.9</v>
      </c>
      <c r="AC26">
        <v>1.7</v>
      </c>
      <c r="AD26">
        <v>2.4</v>
      </c>
      <c r="AE26">
        <v>3.1</v>
      </c>
      <c r="AH26">
        <v>93</v>
      </c>
      <c r="AJ26">
        <v>0</v>
      </c>
      <c r="AM26" s="6">
        <v>45601</v>
      </c>
    </row>
    <row r="27" spans="1:39" x14ac:dyDescent="0.2">
      <c r="A27" t="s">
        <v>359</v>
      </c>
      <c r="B27" t="s">
        <v>385</v>
      </c>
      <c r="D27" t="s">
        <v>339</v>
      </c>
      <c r="E27" t="s">
        <v>339</v>
      </c>
      <c r="F27" t="s">
        <v>339</v>
      </c>
      <c r="G27">
        <v>0</v>
      </c>
      <c r="H27" t="s">
        <v>386</v>
      </c>
      <c r="I27">
        <v>40</v>
      </c>
      <c r="K27">
        <v>4</v>
      </c>
      <c r="L27">
        <v>6</v>
      </c>
      <c r="M27">
        <v>10</v>
      </c>
      <c r="N27">
        <v>5</v>
      </c>
      <c r="O27">
        <v>30</v>
      </c>
      <c r="P27">
        <v>2</v>
      </c>
      <c r="Q27">
        <v>0</v>
      </c>
      <c r="R27">
        <v>36</v>
      </c>
      <c r="S27">
        <v>0.05</v>
      </c>
      <c r="T27">
        <v>0.05</v>
      </c>
      <c r="U27">
        <v>0.02</v>
      </c>
      <c r="V27">
        <v>0.01</v>
      </c>
      <c r="W27">
        <v>0.02</v>
      </c>
      <c r="X27">
        <v>1E-3</v>
      </c>
      <c r="AB27">
        <v>0.88</v>
      </c>
      <c r="AC27">
        <v>1.73</v>
      </c>
      <c r="AD27">
        <v>2.5499999999999998</v>
      </c>
      <c r="AE27">
        <v>3.3</v>
      </c>
      <c r="AF27">
        <v>14.8</v>
      </c>
      <c r="AG27">
        <v>53</v>
      </c>
      <c r="AH27">
        <v>86</v>
      </c>
      <c r="AI27">
        <v>131</v>
      </c>
      <c r="AM27" s="6">
        <v>45601</v>
      </c>
    </row>
    <row r="28" spans="1:39" x14ac:dyDescent="0.2">
      <c r="A28" t="s">
        <v>372</v>
      </c>
      <c r="B28" t="s">
        <v>387</v>
      </c>
      <c r="D28" t="s">
        <v>339</v>
      </c>
      <c r="G28">
        <v>2</v>
      </c>
      <c r="H28" t="s">
        <v>361</v>
      </c>
      <c r="I28">
        <v>100</v>
      </c>
      <c r="K28">
        <v>11</v>
      </c>
      <c r="M28">
        <v>13</v>
      </c>
      <c r="N28">
        <v>5</v>
      </c>
      <c r="O28">
        <v>20</v>
      </c>
      <c r="P28">
        <v>2</v>
      </c>
      <c r="Q28">
        <v>7</v>
      </c>
      <c r="S28">
        <v>0.12</v>
      </c>
      <c r="T28">
        <v>0.06</v>
      </c>
      <c r="U28">
        <v>1.4999999999999999E-2</v>
      </c>
      <c r="V28">
        <v>0.02</v>
      </c>
      <c r="W28">
        <v>1.4999999999999999E-2</v>
      </c>
      <c r="X28">
        <v>0.01</v>
      </c>
      <c r="AA28" t="s">
        <v>375</v>
      </c>
      <c r="AB28">
        <v>0.52</v>
      </c>
      <c r="AC28">
        <v>1.05</v>
      </c>
      <c r="AD28">
        <v>1.56</v>
      </c>
      <c r="AE28">
        <v>2.12</v>
      </c>
      <c r="AF28">
        <v>10.7</v>
      </c>
      <c r="AG28">
        <v>46.4</v>
      </c>
      <c r="AH28">
        <v>80.299999999999983</v>
      </c>
      <c r="AI28">
        <v>131</v>
      </c>
      <c r="AM28" s="6">
        <v>45601</v>
      </c>
    </row>
    <row r="29" spans="1:39" x14ac:dyDescent="0.2">
      <c r="A29" t="s">
        <v>359</v>
      </c>
      <c r="B29" t="s">
        <v>388</v>
      </c>
      <c r="D29" t="s">
        <v>339</v>
      </c>
      <c r="E29" t="s">
        <v>339</v>
      </c>
      <c r="F29" t="s">
        <v>339</v>
      </c>
      <c r="G29">
        <v>0</v>
      </c>
      <c r="H29" t="s">
        <v>389</v>
      </c>
      <c r="I29">
        <v>68</v>
      </c>
      <c r="K29">
        <v>10.199999999999999</v>
      </c>
      <c r="L29">
        <v>4.8</v>
      </c>
      <c r="M29">
        <v>15</v>
      </c>
      <c r="N29">
        <v>5</v>
      </c>
      <c r="O29">
        <v>30</v>
      </c>
      <c r="P29">
        <v>1.3</v>
      </c>
      <c r="Q29">
        <v>0</v>
      </c>
      <c r="R29">
        <v>11</v>
      </c>
      <c r="S29">
        <v>0.05</v>
      </c>
      <c r="T29">
        <v>0.05</v>
      </c>
      <c r="U29">
        <v>0.02</v>
      </c>
      <c r="V29">
        <v>0.01</v>
      </c>
      <c r="W29">
        <v>0.02</v>
      </c>
      <c r="X29">
        <v>1E-3</v>
      </c>
      <c r="AB29">
        <v>0.67</v>
      </c>
      <c r="AC29">
        <v>1.3480000000000001</v>
      </c>
      <c r="AD29">
        <v>2</v>
      </c>
      <c r="AE29">
        <v>2.6</v>
      </c>
      <c r="AF29">
        <v>13.5</v>
      </c>
      <c r="AG29">
        <v>52.5</v>
      </c>
      <c r="AH29">
        <v>90.6</v>
      </c>
      <c r="AI29">
        <v>149.9</v>
      </c>
      <c r="AM29" s="6">
        <v>45601</v>
      </c>
    </row>
    <row r="30" spans="1:39" x14ac:dyDescent="0.2">
      <c r="A30" t="s">
        <v>337</v>
      </c>
      <c r="B30" t="s">
        <v>390</v>
      </c>
      <c r="D30" t="s">
        <v>339</v>
      </c>
      <c r="E30" t="s">
        <v>339</v>
      </c>
      <c r="G30">
        <v>0</v>
      </c>
      <c r="H30" t="s">
        <v>391</v>
      </c>
      <c r="I30">
        <v>20</v>
      </c>
      <c r="K30">
        <v>3</v>
      </c>
      <c r="L30">
        <v>12</v>
      </c>
      <c r="M30">
        <v>15</v>
      </c>
      <c r="N30">
        <v>5</v>
      </c>
      <c r="O30">
        <v>15</v>
      </c>
      <c r="P30">
        <v>2</v>
      </c>
      <c r="Q30">
        <v>0</v>
      </c>
      <c r="R30">
        <v>4</v>
      </c>
      <c r="S30">
        <v>7.4999999999999983E-2</v>
      </c>
      <c r="T30">
        <v>0.05</v>
      </c>
      <c r="U30">
        <v>0.01</v>
      </c>
      <c r="V30">
        <v>0.02</v>
      </c>
      <c r="W30">
        <v>0.03</v>
      </c>
      <c r="X30">
        <v>1E-3</v>
      </c>
      <c r="Y30">
        <v>0</v>
      </c>
      <c r="AA30">
        <v>0</v>
      </c>
      <c r="AB30">
        <v>0.7</v>
      </c>
      <c r="AC30">
        <v>1.5</v>
      </c>
      <c r="AD30">
        <v>2.2000000000000002</v>
      </c>
      <c r="AE30">
        <v>2.8</v>
      </c>
      <c r="AJ30">
        <v>0</v>
      </c>
      <c r="AM30" s="6">
        <v>45601</v>
      </c>
    </row>
    <row r="31" spans="1:39" x14ac:dyDescent="0.2">
      <c r="A31" t="s">
        <v>372</v>
      </c>
      <c r="B31" t="s">
        <v>392</v>
      </c>
      <c r="D31" t="s">
        <v>339</v>
      </c>
      <c r="G31">
        <v>2.1</v>
      </c>
      <c r="H31" t="s">
        <v>393</v>
      </c>
      <c r="I31">
        <v>89</v>
      </c>
      <c r="K31">
        <v>11.5</v>
      </c>
      <c r="L31">
        <v>1.4</v>
      </c>
      <c r="M31">
        <v>15</v>
      </c>
      <c r="N31">
        <v>5</v>
      </c>
      <c r="O31">
        <v>15</v>
      </c>
      <c r="P31">
        <v>3</v>
      </c>
      <c r="Q31">
        <v>7</v>
      </c>
      <c r="S31">
        <v>0.12</v>
      </c>
      <c r="T31">
        <v>0.06</v>
      </c>
      <c r="U31">
        <v>1.4999999999999999E-2</v>
      </c>
      <c r="V31">
        <v>0.02</v>
      </c>
      <c r="W31">
        <v>1.4999999999999999E-2</v>
      </c>
      <c r="X31">
        <v>0.01</v>
      </c>
      <c r="AA31" t="s">
        <v>375</v>
      </c>
      <c r="AB31">
        <v>0.51</v>
      </c>
      <c r="AC31">
        <v>1</v>
      </c>
      <c r="AD31">
        <v>1.56</v>
      </c>
      <c r="AE31">
        <v>2.04</v>
      </c>
      <c r="AF31">
        <v>10.6</v>
      </c>
      <c r="AG31">
        <v>45.8</v>
      </c>
      <c r="AH31">
        <v>76.5</v>
      </c>
      <c r="AI31">
        <v>130</v>
      </c>
      <c r="AM31" s="6">
        <v>45601</v>
      </c>
    </row>
    <row r="32" spans="1:39" x14ac:dyDescent="0.2">
      <c r="A32" t="s">
        <v>359</v>
      </c>
      <c r="B32" t="s">
        <v>394</v>
      </c>
      <c r="D32" t="s">
        <v>339</v>
      </c>
      <c r="E32" t="s">
        <v>339</v>
      </c>
      <c r="F32" t="s">
        <v>339</v>
      </c>
      <c r="G32">
        <v>0</v>
      </c>
      <c r="H32" t="s">
        <v>348</v>
      </c>
      <c r="I32">
        <v>42</v>
      </c>
      <c r="K32">
        <v>7.2</v>
      </c>
      <c r="L32">
        <v>9.8000000000000007</v>
      </c>
      <c r="M32">
        <v>17</v>
      </c>
      <c r="N32">
        <v>5</v>
      </c>
      <c r="O32">
        <v>19</v>
      </c>
      <c r="P32">
        <v>1.4</v>
      </c>
      <c r="Q32">
        <v>0</v>
      </c>
      <c r="R32">
        <v>27.6</v>
      </c>
      <c r="S32">
        <v>0.05</v>
      </c>
      <c r="T32">
        <v>0.05</v>
      </c>
      <c r="U32">
        <v>0.02</v>
      </c>
      <c r="V32">
        <v>0.01</v>
      </c>
      <c r="W32">
        <v>0.02</v>
      </c>
      <c r="X32">
        <v>1E-3</v>
      </c>
      <c r="AB32">
        <v>0.8</v>
      </c>
      <c r="AC32">
        <v>1.59</v>
      </c>
      <c r="AD32">
        <v>2.3199999999999998</v>
      </c>
      <c r="AE32">
        <v>3.08</v>
      </c>
      <c r="AF32">
        <v>16</v>
      </c>
      <c r="AG32">
        <v>60.7</v>
      </c>
      <c r="AH32">
        <v>110.4</v>
      </c>
      <c r="AI32">
        <v>172.69999999999996</v>
      </c>
      <c r="AM32" s="6">
        <v>45601</v>
      </c>
    </row>
    <row r="33" spans="1:39" x14ac:dyDescent="0.2">
      <c r="A33" t="s">
        <v>366</v>
      </c>
      <c r="B33" t="s">
        <v>395</v>
      </c>
      <c r="D33" t="s">
        <v>339</v>
      </c>
      <c r="E33" t="s">
        <v>339</v>
      </c>
      <c r="F33" t="s">
        <v>339</v>
      </c>
      <c r="G33">
        <v>9.3000000000000007</v>
      </c>
      <c r="H33" t="s">
        <v>361</v>
      </c>
      <c r="I33">
        <v>100</v>
      </c>
      <c r="K33">
        <v>0.7</v>
      </c>
      <c r="M33">
        <v>10</v>
      </c>
      <c r="N33">
        <v>5</v>
      </c>
      <c r="O33">
        <v>7</v>
      </c>
      <c r="Q33">
        <v>0</v>
      </c>
      <c r="S33">
        <v>1.1000000000000001</v>
      </c>
      <c r="T33">
        <v>1.5</v>
      </c>
      <c r="U33">
        <v>1.1000000000000001</v>
      </c>
      <c r="V33">
        <v>0.3</v>
      </c>
      <c r="W33">
        <v>0.5</v>
      </c>
      <c r="X33">
        <v>0.01</v>
      </c>
      <c r="AA33">
        <v>1.31</v>
      </c>
      <c r="AC33">
        <v>0.2</v>
      </c>
      <c r="AE33">
        <v>0.39</v>
      </c>
      <c r="AM33" s="6">
        <v>45601</v>
      </c>
    </row>
    <row r="34" spans="1:39" x14ac:dyDescent="0.2">
      <c r="A34" t="s">
        <v>337</v>
      </c>
      <c r="B34" t="s">
        <v>396</v>
      </c>
      <c r="D34" t="s">
        <v>339</v>
      </c>
      <c r="E34" t="s">
        <v>339</v>
      </c>
      <c r="F34" t="s">
        <v>339</v>
      </c>
      <c r="G34">
        <v>0</v>
      </c>
      <c r="H34" t="s">
        <v>397</v>
      </c>
      <c r="I34">
        <v>34</v>
      </c>
      <c r="K34">
        <v>6.8</v>
      </c>
      <c r="L34">
        <v>13.2</v>
      </c>
      <c r="M34">
        <v>20</v>
      </c>
      <c r="N34">
        <v>5</v>
      </c>
      <c r="O34">
        <v>10</v>
      </c>
      <c r="P34">
        <v>2</v>
      </c>
      <c r="Q34">
        <v>0</v>
      </c>
      <c r="R34">
        <v>36</v>
      </c>
      <c r="S34">
        <v>7.0000000000000007E-2</v>
      </c>
      <c r="T34">
        <v>0.05</v>
      </c>
      <c r="U34">
        <v>0.01</v>
      </c>
      <c r="V34">
        <v>0.03</v>
      </c>
      <c r="W34">
        <v>0.01</v>
      </c>
      <c r="X34">
        <v>1E-3</v>
      </c>
      <c r="Y34">
        <v>0</v>
      </c>
      <c r="AA34">
        <v>0</v>
      </c>
      <c r="AB34">
        <v>0.8</v>
      </c>
      <c r="AC34">
        <v>1.6</v>
      </c>
      <c r="AD34">
        <v>2.2999999999999998</v>
      </c>
      <c r="AE34">
        <v>3</v>
      </c>
      <c r="AH34">
        <v>90</v>
      </c>
      <c r="AJ34">
        <v>0</v>
      </c>
      <c r="AM34" s="6">
        <v>45601</v>
      </c>
    </row>
    <row r="35" spans="1:39" x14ac:dyDescent="0.2">
      <c r="A35" t="s">
        <v>398</v>
      </c>
      <c r="B35" t="s">
        <v>399</v>
      </c>
      <c r="D35" t="s">
        <v>339</v>
      </c>
      <c r="F35" t="s">
        <v>339</v>
      </c>
      <c r="G35">
        <v>0</v>
      </c>
      <c r="H35" t="s">
        <v>397</v>
      </c>
      <c r="I35">
        <v>34</v>
      </c>
      <c r="K35">
        <v>6.8</v>
      </c>
      <c r="L35">
        <v>13.2</v>
      </c>
      <c r="M35">
        <v>20</v>
      </c>
      <c r="N35">
        <v>5</v>
      </c>
      <c r="O35">
        <v>10</v>
      </c>
      <c r="P35">
        <v>2</v>
      </c>
      <c r="Q35">
        <v>0</v>
      </c>
      <c r="AB35">
        <v>0.8</v>
      </c>
      <c r="AC35">
        <v>1.5</v>
      </c>
      <c r="AD35">
        <v>2.1</v>
      </c>
      <c r="AE35">
        <v>2.8</v>
      </c>
      <c r="AF35">
        <v>11</v>
      </c>
      <c r="AG35">
        <v>54</v>
      </c>
      <c r="AH35">
        <v>95</v>
      </c>
      <c r="AI35">
        <v>172</v>
      </c>
      <c r="AM35" s="6">
        <v>45601</v>
      </c>
    </row>
    <row r="36" spans="1:39" x14ac:dyDescent="0.2">
      <c r="A36" t="s">
        <v>341</v>
      </c>
      <c r="B36" t="s">
        <v>400</v>
      </c>
      <c r="G36">
        <v>0</v>
      </c>
      <c r="H36" t="s">
        <v>348</v>
      </c>
      <c r="I36">
        <v>42</v>
      </c>
      <c r="K36">
        <v>8.5</v>
      </c>
      <c r="L36">
        <v>11.5</v>
      </c>
      <c r="M36">
        <v>20</v>
      </c>
      <c r="N36">
        <v>5</v>
      </c>
      <c r="O36">
        <v>10</v>
      </c>
      <c r="P36">
        <v>2</v>
      </c>
      <c r="Q36">
        <v>0</v>
      </c>
      <c r="AB36">
        <v>0.8</v>
      </c>
      <c r="AC36">
        <v>1.5</v>
      </c>
      <c r="AD36">
        <v>2.2000000000000002</v>
      </c>
      <c r="AE36">
        <v>2.9</v>
      </c>
      <c r="AF36">
        <v>12</v>
      </c>
      <c r="AG36">
        <v>52</v>
      </c>
      <c r="AH36">
        <v>93</v>
      </c>
      <c r="AI36">
        <v>160</v>
      </c>
      <c r="AM36" s="6">
        <v>45601</v>
      </c>
    </row>
    <row r="37" spans="1:39" x14ac:dyDescent="0.2">
      <c r="A37" t="s">
        <v>359</v>
      </c>
      <c r="B37" t="s">
        <v>401</v>
      </c>
      <c r="D37" t="s">
        <v>339</v>
      </c>
      <c r="E37" t="s">
        <v>339</v>
      </c>
      <c r="F37" t="s">
        <v>339</v>
      </c>
      <c r="G37">
        <v>0</v>
      </c>
      <c r="H37" t="s">
        <v>402</v>
      </c>
      <c r="I37">
        <v>15</v>
      </c>
      <c r="K37">
        <v>3</v>
      </c>
      <c r="L37">
        <v>16</v>
      </c>
      <c r="M37">
        <v>19</v>
      </c>
      <c r="N37">
        <v>5</v>
      </c>
      <c r="O37">
        <v>5</v>
      </c>
      <c r="P37">
        <v>2</v>
      </c>
      <c r="Q37">
        <v>0</v>
      </c>
      <c r="R37">
        <v>51</v>
      </c>
      <c r="S37">
        <v>0.05</v>
      </c>
      <c r="T37">
        <v>0.05</v>
      </c>
      <c r="U37">
        <v>0.02</v>
      </c>
      <c r="V37">
        <v>0.01</v>
      </c>
      <c r="W37">
        <v>0.02</v>
      </c>
      <c r="X37">
        <v>1E-3</v>
      </c>
      <c r="AB37">
        <v>0.81999999999999984</v>
      </c>
      <c r="AC37">
        <v>1.8</v>
      </c>
      <c r="AD37">
        <v>2.29</v>
      </c>
      <c r="AE37">
        <v>3.37</v>
      </c>
      <c r="AF37">
        <v>17.600000000000001</v>
      </c>
      <c r="AG37">
        <v>56</v>
      </c>
      <c r="AH37">
        <v>90</v>
      </c>
      <c r="AI37">
        <v>139</v>
      </c>
      <c r="AM37" s="6">
        <v>45601</v>
      </c>
    </row>
    <row r="38" spans="1:39" x14ac:dyDescent="0.2">
      <c r="A38" t="s">
        <v>376</v>
      </c>
      <c r="B38" t="s">
        <v>403</v>
      </c>
      <c r="D38" t="s">
        <v>339</v>
      </c>
      <c r="E38" t="s">
        <v>339</v>
      </c>
      <c r="F38" t="s">
        <v>339</v>
      </c>
      <c r="G38">
        <v>0</v>
      </c>
      <c r="H38" t="s">
        <v>404</v>
      </c>
      <c r="I38">
        <v>36</v>
      </c>
      <c r="K38">
        <v>7.3</v>
      </c>
      <c r="L38">
        <v>12.7</v>
      </c>
      <c r="M38">
        <v>20</v>
      </c>
      <c r="N38">
        <v>5</v>
      </c>
      <c r="O38">
        <v>10</v>
      </c>
      <c r="P38">
        <v>2</v>
      </c>
      <c r="Q38">
        <v>0</v>
      </c>
      <c r="R38">
        <v>25</v>
      </c>
      <c r="S38">
        <v>7.0000000000000007E-2</v>
      </c>
      <c r="T38">
        <v>0.04</v>
      </c>
      <c r="U38">
        <v>2.5000000000000001E-2</v>
      </c>
      <c r="V38">
        <v>2.5000000000000001E-2</v>
      </c>
      <c r="W38">
        <v>0.01</v>
      </c>
      <c r="X38">
        <v>4.0000000000000001E-3</v>
      </c>
      <c r="AB38">
        <v>0.7</v>
      </c>
      <c r="AC38">
        <v>1.5</v>
      </c>
      <c r="AD38">
        <v>2</v>
      </c>
      <c r="AE38">
        <v>2.7</v>
      </c>
      <c r="AF38">
        <v>12</v>
      </c>
      <c r="AG38">
        <v>50</v>
      </c>
      <c r="AH38">
        <v>88</v>
      </c>
      <c r="AI38">
        <v>140</v>
      </c>
      <c r="AM38" s="6">
        <v>45601</v>
      </c>
    </row>
    <row r="39" spans="1:39" x14ac:dyDescent="0.2">
      <c r="A39" t="s">
        <v>366</v>
      </c>
      <c r="B39" t="s">
        <v>405</v>
      </c>
      <c r="D39" t="s">
        <v>339</v>
      </c>
      <c r="G39">
        <v>0</v>
      </c>
      <c r="H39" t="s">
        <v>382</v>
      </c>
      <c r="I39">
        <v>66</v>
      </c>
      <c r="K39">
        <v>12.7</v>
      </c>
      <c r="L39">
        <v>6.3</v>
      </c>
      <c r="M39">
        <v>19</v>
      </c>
      <c r="N39">
        <v>5</v>
      </c>
      <c r="O39">
        <v>25.2</v>
      </c>
      <c r="P39">
        <v>2</v>
      </c>
      <c r="Q39">
        <v>0</v>
      </c>
      <c r="R39">
        <v>4.8</v>
      </c>
      <c r="S39">
        <v>7.8000000000000014E-2</v>
      </c>
      <c r="T39">
        <v>1.2999999999999999E-2</v>
      </c>
      <c r="U39">
        <v>3.0000000000000001E-3</v>
      </c>
      <c r="V39">
        <v>1.0999999999999998E-2</v>
      </c>
      <c r="W39">
        <v>3.0000000000000001E-3</v>
      </c>
      <c r="X39">
        <v>1E-3</v>
      </c>
      <c r="AB39">
        <v>0.7</v>
      </c>
      <c r="AC39">
        <v>1.3</v>
      </c>
      <c r="AD39">
        <v>1.94</v>
      </c>
      <c r="AE39">
        <v>2.56</v>
      </c>
      <c r="AM39" s="6">
        <v>45601</v>
      </c>
    </row>
    <row r="40" spans="1:39" x14ac:dyDescent="0.2">
      <c r="A40" t="s">
        <v>359</v>
      </c>
      <c r="B40" t="s">
        <v>406</v>
      </c>
      <c r="D40" t="s">
        <v>339</v>
      </c>
      <c r="E40" t="s">
        <v>339</v>
      </c>
      <c r="F40" t="s">
        <v>339</v>
      </c>
      <c r="G40">
        <v>0</v>
      </c>
      <c r="H40" t="s">
        <v>407</v>
      </c>
      <c r="I40">
        <v>35</v>
      </c>
      <c r="K40">
        <v>7</v>
      </c>
      <c r="L40">
        <v>13</v>
      </c>
      <c r="M40">
        <v>20</v>
      </c>
      <c r="N40">
        <v>5</v>
      </c>
      <c r="O40">
        <v>10</v>
      </c>
      <c r="P40">
        <v>2</v>
      </c>
      <c r="Q40">
        <v>0</v>
      </c>
      <c r="R40">
        <v>32</v>
      </c>
      <c r="S40">
        <v>0.05</v>
      </c>
      <c r="T40">
        <v>0.05</v>
      </c>
      <c r="U40">
        <v>0.02</v>
      </c>
      <c r="V40">
        <v>0.01</v>
      </c>
      <c r="W40">
        <v>0.02</v>
      </c>
      <c r="X40">
        <v>1E-3</v>
      </c>
      <c r="AA40" t="s">
        <v>408</v>
      </c>
      <c r="AB40">
        <v>0.96</v>
      </c>
      <c r="AC40">
        <v>1.61</v>
      </c>
      <c r="AD40">
        <v>2.38</v>
      </c>
      <c r="AE40">
        <v>3.14</v>
      </c>
      <c r="AF40">
        <v>16.399999999999995</v>
      </c>
      <c r="AG40">
        <v>54.7</v>
      </c>
      <c r="AH40">
        <v>100.3</v>
      </c>
      <c r="AI40">
        <v>173.1</v>
      </c>
      <c r="AM40" s="6">
        <v>45601</v>
      </c>
    </row>
    <row r="41" spans="1:39" x14ac:dyDescent="0.2">
      <c r="A41" t="s">
        <v>366</v>
      </c>
      <c r="B41" t="s">
        <v>409</v>
      </c>
      <c r="D41" t="s">
        <v>339</v>
      </c>
      <c r="E41" t="s">
        <v>339</v>
      </c>
      <c r="F41" t="s">
        <v>339</v>
      </c>
      <c r="G41">
        <v>0</v>
      </c>
      <c r="H41" t="s">
        <v>407</v>
      </c>
      <c r="I41">
        <v>35</v>
      </c>
      <c r="K41">
        <v>7</v>
      </c>
      <c r="L41">
        <v>13</v>
      </c>
      <c r="M41">
        <v>20</v>
      </c>
      <c r="N41">
        <v>5</v>
      </c>
      <c r="O41">
        <v>10.1</v>
      </c>
      <c r="P41">
        <v>2.1</v>
      </c>
      <c r="Q41">
        <v>0</v>
      </c>
      <c r="R41">
        <v>32.9</v>
      </c>
      <c r="S41">
        <v>7.8000000000000014E-2</v>
      </c>
      <c r="T41">
        <v>1.2999999999999999E-2</v>
      </c>
      <c r="U41">
        <v>3.0000000000000001E-3</v>
      </c>
      <c r="V41">
        <v>1.0999999999999998E-2</v>
      </c>
      <c r="W41">
        <v>3.0000000000000001E-3</v>
      </c>
      <c r="X41">
        <v>1E-3</v>
      </c>
      <c r="AB41">
        <v>0.6</v>
      </c>
      <c r="AC41">
        <v>1.2</v>
      </c>
      <c r="AD41">
        <v>1.8</v>
      </c>
      <c r="AE41">
        <v>2.2999999999999998</v>
      </c>
      <c r="AF41">
        <v>13</v>
      </c>
      <c r="AG41">
        <v>51</v>
      </c>
      <c r="AH41">
        <v>88</v>
      </c>
      <c r="AI41">
        <v>136</v>
      </c>
      <c r="AM41" s="6">
        <v>45601</v>
      </c>
    </row>
    <row r="42" spans="1:39" x14ac:dyDescent="0.2">
      <c r="A42" t="s">
        <v>366</v>
      </c>
      <c r="B42" t="s">
        <v>410</v>
      </c>
      <c r="D42" t="s">
        <v>339</v>
      </c>
      <c r="G42">
        <v>0</v>
      </c>
      <c r="H42" t="s">
        <v>411</v>
      </c>
      <c r="I42">
        <v>51</v>
      </c>
      <c r="K42">
        <v>12.5</v>
      </c>
      <c r="L42">
        <v>11.7</v>
      </c>
      <c r="M42">
        <v>24.2</v>
      </c>
      <c r="N42">
        <v>5</v>
      </c>
      <c r="O42">
        <v>11</v>
      </c>
      <c r="P42">
        <v>2.1</v>
      </c>
      <c r="Q42">
        <v>0</v>
      </c>
      <c r="R42">
        <v>10</v>
      </c>
      <c r="S42">
        <v>7.8000000000000014E-2</v>
      </c>
      <c r="T42">
        <v>1.2999999999999999E-2</v>
      </c>
      <c r="U42">
        <v>3.0000000000000001E-3</v>
      </c>
      <c r="V42">
        <v>1.0999999999999998E-2</v>
      </c>
      <c r="W42">
        <v>3.0000000000000001E-3</v>
      </c>
      <c r="X42">
        <v>1E-3</v>
      </c>
      <c r="AB42">
        <v>0.66000000000000014</v>
      </c>
      <c r="AC42">
        <v>1.26</v>
      </c>
      <c r="AD42">
        <v>1.88</v>
      </c>
      <c r="AE42">
        <v>2.4500000000000002</v>
      </c>
      <c r="AM42" s="6">
        <v>45601</v>
      </c>
    </row>
    <row r="43" spans="1:39" x14ac:dyDescent="0.2">
      <c r="A43" t="s">
        <v>366</v>
      </c>
      <c r="B43" t="s">
        <v>412</v>
      </c>
      <c r="D43" t="s">
        <v>339</v>
      </c>
      <c r="E43" t="s">
        <v>339</v>
      </c>
      <c r="F43" t="s">
        <v>339</v>
      </c>
      <c r="G43">
        <v>0</v>
      </c>
      <c r="H43" t="s">
        <v>413</v>
      </c>
      <c r="I43">
        <v>53</v>
      </c>
      <c r="K43">
        <v>8.4</v>
      </c>
      <c r="L43">
        <v>7.2</v>
      </c>
      <c r="M43">
        <v>15.6</v>
      </c>
      <c r="N43">
        <v>5.2</v>
      </c>
      <c r="O43">
        <v>25</v>
      </c>
      <c r="P43">
        <v>2.1</v>
      </c>
      <c r="Q43">
        <v>0</v>
      </c>
      <c r="R43">
        <v>22.8</v>
      </c>
      <c r="S43">
        <v>7.8000000000000014E-2</v>
      </c>
      <c r="T43">
        <v>1.2999999999999999E-2</v>
      </c>
      <c r="U43">
        <v>3.0000000000000001E-3</v>
      </c>
      <c r="V43">
        <v>1.0999999999999998E-2</v>
      </c>
      <c r="W43">
        <v>3.0000000000000001E-3</v>
      </c>
      <c r="X43">
        <v>1E-3</v>
      </c>
      <c r="AB43">
        <v>0.75</v>
      </c>
      <c r="AC43">
        <v>1.49</v>
      </c>
      <c r="AD43">
        <v>2.2799999999999998</v>
      </c>
      <c r="AE43">
        <v>2.94</v>
      </c>
      <c r="AM43" s="6">
        <v>45601</v>
      </c>
    </row>
    <row r="44" spans="1:39" x14ac:dyDescent="0.2">
      <c r="A44" t="s">
        <v>372</v>
      </c>
      <c r="B44" t="s">
        <v>414</v>
      </c>
      <c r="D44" t="s">
        <v>339</v>
      </c>
      <c r="G44">
        <v>1.1000000000000001</v>
      </c>
      <c r="H44" t="s">
        <v>415</v>
      </c>
      <c r="I44">
        <v>67</v>
      </c>
      <c r="K44">
        <v>12</v>
      </c>
      <c r="L44">
        <v>5.9</v>
      </c>
      <c r="M44">
        <v>19</v>
      </c>
      <c r="N44">
        <v>6</v>
      </c>
      <c r="O44">
        <v>27</v>
      </c>
      <c r="Q44">
        <v>0</v>
      </c>
      <c r="R44">
        <v>2.4</v>
      </c>
      <c r="S44">
        <v>0.1</v>
      </c>
      <c r="T44">
        <v>0.04</v>
      </c>
      <c r="U44">
        <v>0.01</v>
      </c>
      <c r="V44">
        <v>0.01</v>
      </c>
      <c r="W44">
        <v>0.01</v>
      </c>
      <c r="X44">
        <v>1E-3</v>
      </c>
      <c r="AA44" t="s">
        <v>375</v>
      </c>
      <c r="AB44">
        <v>0.71370623604073724</v>
      </c>
      <c r="AC44">
        <v>1.4</v>
      </c>
      <c r="AD44">
        <v>2.122765257379402</v>
      </c>
      <c r="AE44">
        <v>2.8823734464939572</v>
      </c>
      <c r="AF44">
        <v>13.556012575549431</v>
      </c>
      <c r="AG44">
        <v>57.664293850971504</v>
      </c>
      <c r="AH44">
        <v>101.79941098805281</v>
      </c>
      <c r="AI44">
        <v>170.38762679320766</v>
      </c>
      <c r="AM44" s="6">
        <v>45601</v>
      </c>
    </row>
    <row r="45" spans="1:39" x14ac:dyDescent="0.2">
      <c r="A45" t="s">
        <v>337</v>
      </c>
      <c r="B45" t="s">
        <v>416</v>
      </c>
      <c r="D45" t="s">
        <v>339</v>
      </c>
      <c r="E45" t="s">
        <v>339</v>
      </c>
      <c r="G45">
        <v>0</v>
      </c>
      <c r="H45" t="s">
        <v>389</v>
      </c>
      <c r="I45">
        <v>68</v>
      </c>
      <c r="K45">
        <v>11</v>
      </c>
      <c r="L45">
        <v>5</v>
      </c>
      <c r="M45">
        <v>16</v>
      </c>
      <c r="N45">
        <v>6</v>
      </c>
      <c r="O45">
        <v>26</v>
      </c>
      <c r="P45">
        <v>3.4</v>
      </c>
      <c r="Q45">
        <v>0</v>
      </c>
      <c r="R45">
        <v>9.6</v>
      </c>
      <c r="S45">
        <v>0.01</v>
      </c>
      <c r="T45">
        <v>0.05</v>
      </c>
      <c r="U45">
        <v>0.01</v>
      </c>
      <c r="V45">
        <v>0.02</v>
      </c>
      <c r="W45">
        <v>0.04</v>
      </c>
      <c r="X45">
        <v>2E-3</v>
      </c>
      <c r="Y45">
        <v>0</v>
      </c>
      <c r="AA45">
        <v>0</v>
      </c>
      <c r="AB45">
        <v>0.7</v>
      </c>
      <c r="AC45">
        <v>1.4</v>
      </c>
      <c r="AD45">
        <v>2</v>
      </c>
      <c r="AE45">
        <v>2.6</v>
      </c>
      <c r="AF45">
        <v>12</v>
      </c>
      <c r="AG45">
        <v>50</v>
      </c>
      <c r="AH45">
        <v>91</v>
      </c>
      <c r="AI45">
        <v>152</v>
      </c>
      <c r="AJ45">
        <v>0</v>
      </c>
      <c r="AM45" s="6">
        <v>45601</v>
      </c>
    </row>
    <row r="46" spans="1:39" x14ac:dyDescent="0.2">
      <c r="A46" t="s">
        <v>341</v>
      </c>
      <c r="B46" t="s">
        <v>417</v>
      </c>
      <c r="G46">
        <v>0</v>
      </c>
      <c r="H46" t="s">
        <v>389</v>
      </c>
      <c r="I46">
        <v>68</v>
      </c>
      <c r="K46">
        <v>11</v>
      </c>
      <c r="L46">
        <v>5</v>
      </c>
      <c r="M46">
        <v>16</v>
      </c>
      <c r="N46">
        <v>6</v>
      </c>
      <c r="O46">
        <v>26</v>
      </c>
      <c r="P46">
        <v>3.4</v>
      </c>
      <c r="Q46">
        <v>0</v>
      </c>
      <c r="AB46">
        <v>0.7</v>
      </c>
      <c r="AC46">
        <v>1.3</v>
      </c>
      <c r="AD46">
        <v>2</v>
      </c>
      <c r="AE46">
        <v>2.6</v>
      </c>
      <c r="AF46">
        <v>11</v>
      </c>
      <c r="AG46">
        <v>47</v>
      </c>
      <c r="AH46">
        <v>85</v>
      </c>
      <c r="AI46">
        <v>146</v>
      </c>
      <c r="AM46" s="6">
        <v>45601</v>
      </c>
    </row>
    <row r="47" spans="1:39" x14ac:dyDescent="0.2">
      <c r="A47" t="s">
        <v>337</v>
      </c>
      <c r="B47" t="s">
        <v>418</v>
      </c>
      <c r="D47" t="s">
        <v>339</v>
      </c>
      <c r="E47" t="s">
        <v>339</v>
      </c>
      <c r="F47" t="s">
        <v>339</v>
      </c>
      <c r="G47">
        <v>0</v>
      </c>
      <c r="H47" t="s">
        <v>419</v>
      </c>
      <c r="I47">
        <v>59</v>
      </c>
      <c r="K47">
        <v>11.3</v>
      </c>
      <c r="L47">
        <v>7.7</v>
      </c>
      <c r="M47">
        <v>19</v>
      </c>
      <c r="N47">
        <v>6</v>
      </c>
      <c r="O47">
        <v>20</v>
      </c>
      <c r="P47">
        <v>3</v>
      </c>
      <c r="Q47">
        <v>0</v>
      </c>
      <c r="R47">
        <v>12</v>
      </c>
      <c r="S47">
        <v>7.0000000000000007E-2</v>
      </c>
      <c r="T47">
        <v>0.05</v>
      </c>
      <c r="U47">
        <v>0.01</v>
      </c>
      <c r="V47">
        <v>0.03</v>
      </c>
      <c r="W47">
        <v>0.01</v>
      </c>
      <c r="X47">
        <v>1E-3</v>
      </c>
      <c r="Y47">
        <v>0</v>
      </c>
      <c r="AA47">
        <v>0</v>
      </c>
      <c r="AB47">
        <v>0.7</v>
      </c>
      <c r="AC47">
        <v>1.4</v>
      </c>
      <c r="AD47">
        <v>2</v>
      </c>
      <c r="AE47">
        <v>2.7</v>
      </c>
      <c r="AH47">
        <v>85</v>
      </c>
      <c r="AJ47">
        <v>0</v>
      </c>
      <c r="AM47" s="6">
        <v>45601</v>
      </c>
    </row>
    <row r="48" spans="1:39" x14ac:dyDescent="0.2">
      <c r="A48" t="s">
        <v>376</v>
      </c>
      <c r="B48" t="s">
        <v>420</v>
      </c>
      <c r="D48" t="s">
        <v>339</v>
      </c>
      <c r="E48" t="s">
        <v>339</v>
      </c>
      <c r="F48" t="s">
        <v>339</v>
      </c>
      <c r="G48">
        <v>0</v>
      </c>
      <c r="H48" t="s">
        <v>421</v>
      </c>
      <c r="I48">
        <v>62</v>
      </c>
      <c r="K48">
        <v>11.9</v>
      </c>
      <c r="L48">
        <v>7.1</v>
      </c>
      <c r="M48">
        <v>19</v>
      </c>
      <c r="N48">
        <v>6</v>
      </c>
      <c r="O48">
        <v>20</v>
      </c>
      <c r="P48">
        <v>3</v>
      </c>
      <c r="Q48">
        <v>0</v>
      </c>
      <c r="R48">
        <v>7.5</v>
      </c>
      <c r="S48">
        <v>7.0000000000000007E-2</v>
      </c>
      <c r="T48">
        <v>0.04</v>
      </c>
      <c r="U48">
        <v>2.5000000000000001E-2</v>
      </c>
      <c r="V48">
        <v>2.5000000000000001E-2</v>
      </c>
      <c r="W48">
        <v>0.01</v>
      </c>
      <c r="X48">
        <v>4.0000000000000001E-3</v>
      </c>
      <c r="AB48">
        <v>0.7</v>
      </c>
      <c r="AC48">
        <v>1.5</v>
      </c>
      <c r="AD48">
        <v>2</v>
      </c>
      <c r="AE48">
        <v>2.6</v>
      </c>
      <c r="AF48">
        <v>12</v>
      </c>
      <c r="AG48">
        <v>49</v>
      </c>
      <c r="AH48">
        <v>85</v>
      </c>
      <c r="AI48">
        <v>137</v>
      </c>
      <c r="AM48" s="6">
        <v>45601</v>
      </c>
    </row>
    <row r="49" spans="1:39" x14ac:dyDescent="0.2">
      <c r="A49" t="s">
        <v>359</v>
      </c>
      <c r="B49" t="s">
        <v>422</v>
      </c>
      <c r="D49" t="s">
        <v>339</v>
      </c>
      <c r="E49" t="s">
        <v>339</v>
      </c>
      <c r="F49" t="s">
        <v>339</v>
      </c>
      <c r="G49">
        <v>0</v>
      </c>
      <c r="H49" t="s">
        <v>423</v>
      </c>
      <c r="I49">
        <v>54</v>
      </c>
      <c r="K49">
        <v>7.5999999999999988</v>
      </c>
      <c r="L49">
        <v>6.4</v>
      </c>
      <c r="M49">
        <v>14</v>
      </c>
      <c r="N49">
        <v>6</v>
      </c>
      <c r="O49">
        <v>24</v>
      </c>
      <c r="P49">
        <v>3</v>
      </c>
      <c r="Q49">
        <v>0</v>
      </c>
      <c r="R49">
        <v>22.56</v>
      </c>
      <c r="S49">
        <v>7.4999999999999997E-2</v>
      </c>
      <c r="T49">
        <v>0.05</v>
      </c>
      <c r="U49">
        <v>1.4999999999999999E-2</v>
      </c>
      <c r="V49">
        <v>0.01</v>
      </c>
      <c r="W49">
        <v>0.02</v>
      </c>
      <c r="X49">
        <v>1E-3</v>
      </c>
      <c r="AB49">
        <v>0.75</v>
      </c>
      <c r="AC49">
        <v>1.45</v>
      </c>
      <c r="AD49">
        <v>2.14</v>
      </c>
      <c r="AE49">
        <v>2.77</v>
      </c>
      <c r="AF49">
        <v>12.1</v>
      </c>
      <c r="AG49">
        <v>50.3</v>
      </c>
      <c r="AH49">
        <v>89.9</v>
      </c>
      <c r="AI49">
        <v>152</v>
      </c>
      <c r="AM49" s="6">
        <v>45601</v>
      </c>
    </row>
    <row r="50" spans="1:39" x14ac:dyDescent="0.2">
      <c r="A50" t="s">
        <v>337</v>
      </c>
      <c r="B50" t="s">
        <v>424</v>
      </c>
      <c r="D50" t="s">
        <v>339</v>
      </c>
      <c r="E50" t="s">
        <v>339</v>
      </c>
      <c r="G50">
        <v>0</v>
      </c>
      <c r="H50" t="s">
        <v>423</v>
      </c>
      <c r="I50">
        <v>54</v>
      </c>
      <c r="K50">
        <v>13</v>
      </c>
      <c r="L50">
        <v>11</v>
      </c>
      <c r="M50">
        <v>24</v>
      </c>
      <c r="N50">
        <v>6</v>
      </c>
      <c r="O50">
        <v>12</v>
      </c>
      <c r="P50">
        <v>2</v>
      </c>
      <c r="Q50">
        <v>0</v>
      </c>
      <c r="R50">
        <v>4.8</v>
      </c>
      <c r="S50">
        <v>0.01</v>
      </c>
      <c r="T50">
        <v>0.05</v>
      </c>
      <c r="U50">
        <v>0.01</v>
      </c>
      <c r="V50">
        <v>0.02</v>
      </c>
      <c r="W50">
        <v>0.04</v>
      </c>
      <c r="X50">
        <v>2E-3</v>
      </c>
      <c r="Y50">
        <v>0</v>
      </c>
      <c r="AA50">
        <v>0</v>
      </c>
      <c r="AB50">
        <v>0.8</v>
      </c>
      <c r="AC50">
        <v>1.5</v>
      </c>
      <c r="AD50">
        <v>2.2000000000000002</v>
      </c>
      <c r="AE50">
        <v>2.8</v>
      </c>
      <c r="AF50">
        <v>13</v>
      </c>
      <c r="AG50">
        <v>56</v>
      </c>
      <c r="AH50">
        <v>101</v>
      </c>
      <c r="AI50">
        <v>174</v>
      </c>
      <c r="AJ50">
        <v>0</v>
      </c>
      <c r="AM50" s="6">
        <v>45601</v>
      </c>
    </row>
    <row r="51" spans="1:39" x14ac:dyDescent="0.2">
      <c r="A51" t="s">
        <v>341</v>
      </c>
      <c r="B51" t="s">
        <v>425</v>
      </c>
      <c r="D51" t="s">
        <v>339</v>
      </c>
      <c r="F51" t="s">
        <v>339</v>
      </c>
      <c r="G51">
        <v>0</v>
      </c>
      <c r="H51" t="s">
        <v>384</v>
      </c>
      <c r="I51">
        <v>33</v>
      </c>
      <c r="K51">
        <v>6</v>
      </c>
      <c r="L51">
        <v>12</v>
      </c>
      <c r="M51">
        <v>18</v>
      </c>
      <c r="N51">
        <v>6</v>
      </c>
      <c r="O51">
        <v>12</v>
      </c>
      <c r="P51">
        <v>2</v>
      </c>
      <c r="Q51">
        <v>0</v>
      </c>
      <c r="S51">
        <v>0.1</v>
      </c>
      <c r="T51">
        <v>0.05</v>
      </c>
      <c r="U51">
        <v>2.5000000000000001E-2</v>
      </c>
      <c r="V51">
        <v>2.5000000000000001E-2</v>
      </c>
      <c r="W51">
        <v>0.01</v>
      </c>
      <c r="X51">
        <v>2.5000000000000001E-3</v>
      </c>
      <c r="AB51">
        <v>0.8</v>
      </c>
      <c r="AC51">
        <v>1.5</v>
      </c>
      <c r="AD51">
        <v>2.2000000000000002</v>
      </c>
      <c r="AE51">
        <v>2.9</v>
      </c>
      <c r="AF51">
        <v>12</v>
      </c>
      <c r="AG51">
        <v>50</v>
      </c>
      <c r="AH51">
        <v>91</v>
      </c>
      <c r="AI51">
        <v>157</v>
      </c>
      <c r="AM51" s="6">
        <v>45601</v>
      </c>
    </row>
    <row r="52" spans="1:39" x14ac:dyDescent="0.2">
      <c r="A52" t="s">
        <v>341</v>
      </c>
      <c r="B52" t="s">
        <v>426</v>
      </c>
      <c r="G52">
        <v>0</v>
      </c>
      <c r="H52" t="s">
        <v>423</v>
      </c>
      <c r="I52">
        <v>54</v>
      </c>
      <c r="K52">
        <v>13</v>
      </c>
      <c r="L52">
        <v>11</v>
      </c>
      <c r="M52">
        <v>24</v>
      </c>
      <c r="N52">
        <v>6</v>
      </c>
      <c r="O52">
        <v>12</v>
      </c>
      <c r="P52">
        <v>2</v>
      </c>
      <c r="Q52">
        <v>0</v>
      </c>
      <c r="AB52">
        <v>0.8</v>
      </c>
      <c r="AC52">
        <v>1.4</v>
      </c>
      <c r="AD52">
        <v>2.1</v>
      </c>
      <c r="AE52">
        <v>2.7</v>
      </c>
      <c r="AF52">
        <v>12</v>
      </c>
      <c r="AG52">
        <v>52</v>
      </c>
      <c r="AH52">
        <v>95</v>
      </c>
      <c r="AI52">
        <v>166</v>
      </c>
      <c r="AM52" s="6">
        <v>45601</v>
      </c>
    </row>
    <row r="53" spans="1:39" x14ac:dyDescent="0.2">
      <c r="A53" t="s">
        <v>372</v>
      </c>
      <c r="B53" t="s">
        <v>427</v>
      </c>
      <c r="D53" t="s">
        <v>339</v>
      </c>
      <c r="G53">
        <v>0.4</v>
      </c>
      <c r="H53" t="s">
        <v>358</v>
      </c>
      <c r="I53">
        <v>50</v>
      </c>
      <c r="K53">
        <v>11.5</v>
      </c>
      <c r="L53">
        <v>11.1</v>
      </c>
      <c r="M53">
        <v>23</v>
      </c>
      <c r="N53">
        <v>6</v>
      </c>
      <c r="O53">
        <v>10</v>
      </c>
      <c r="P53">
        <v>2.7</v>
      </c>
      <c r="Q53">
        <v>0</v>
      </c>
      <c r="R53">
        <v>9.4</v>
      </c>
      <c r="S53">
        <v>0.1</v>
      </c>
      <c r="T53">
        <v>0.04</v>
      </c>
      <c r="U53">
        <v>0.01</v>
      </c>
      <c r="V53">
        <v>0.01</v>
      </c>
      <c r="W53">
        <v>0.01</v>
      </c>
      <c r="X53">
        <v>1E-3</v>
      </c>
      <c r="AA53" t="s">
        <v>375</v>
      </c>
      <c r="AB53">
        <v>0.76468525290078992</v>
      </c>
      <c r="AC53">
        <v>1.5</v>
      </c>
      <c r="AD53">
        <v>2.2743913471922168</v>
      </c>
      <c r="AE53">
        <v>3.088257264100668</v>
      </c>
      <c r="AF53">
        <v>14.524299188088678</v>
      </c>
      <c r="AG53">
        <v>61.783171983183763</v>
      </c>
      <c r="AH53">
        <v>109.07079748719948</v>
      </c>
      <c r="AI53">
        <v>182.55817156415105</v>
      </c>
      <c r="AM53" s="6">
        <v>45601</v>
      </c>
    </row>
    <row r="54" spans="1:39" x14ac:dyDescent="0.2">
      <c r="A54" t="s">
        <v>372</v>
      </c>
      <c r="B54" t="s">
        <v>428</v>
      </c>
      <c r="D54" t="s">
        <v>339</v>
      </c>
      <c r="G54">
        <v>0</v>
      </c>
      <c r="H54" t="s">
        <v>407</v>
      </c>
      <c r="I54">
        <v>35</v>
      </c>
      <c r="K54">
        <v>7</v>
      </c>
      <c r="L54">
        <v>12.8</v>
      </c>
      <c r="M54">
        <v>20</v>
      </c>
      <c r="N54">
        <v>6</v>
      </c>
      <c r="O54">
        <v>10</v>
      </c>
      <c r="P54">
        <v>2</v>
      </c>
      <c r="Q54">
        <v>0</v>
      </c>
      <c r="S54">
        <v>0.06</v>
      </c>
      <c r="T54">
        <v>0.04</v>
      </c>
      <c r="U54">
        <v>0.01</v>
      </c>
      <c r="V54">
        <v>0.01</v>
      </c>
      <c r="W54">
        <v>0.01</v>
      </c>
      <c r="X54">
        <v>1E-3</v>
      </c>
      <c r="AA54" t="s">
        <v>375</v>
      </c>
      <c r="AB54">
        <v>0.8156642697608425</v>
      </c>
      <c r="AC54">
        <v>1.6</v>
      </c>
      <c r="AD54">
        <v>2.426017437005032</v>
      </c>
      <c r="AE54">
        <v>3.2941410817073797</v>
      </c>
      <c r="AF54">
        <v>15.492585800627923</v>
      </c>
      <c r="AG54">
        <v>65.902050115396023</v>
      </c>
      <c r="AH54">
        <v>116.34218398634611</v>
      </c>
      <c r="AI54">
        <v>194.72871633509448</v>
      </c>
      <c r="AM54" s="6">
        <v>45601</v>
      </c>
    </row>
    <row r="55" spans="1:39" x14ac:dyDescent="0.2">
      <c r="A55" t="s">
        <v>359</v>
      </c>
      <c r="B55" t="s">
        <v>429</v>
      </c>
      <c r="D55" t="s">
        <v>339</v>
      </c>
      <c r="E55" t="s">
        <v>339</v>
      </c>
      <c r="F55" t="s">
        <v>339</v>
      </c>
      <c r="G55">
        <v>0</v>
      </c>
      <c r="H55" t="s">
        <v>423</v>
      </c>
      <c r="I55">
        <v>54</v>
      </c>
      <c r="K55">
        <v>13</v>
      </c>
      <c r="L55">
        <v>11</v>
      </c>
      <c r="M55">
        <v>24</v>
      </c>
      <c r="N55">
        <v>6</v>
      </c>
      <c r="O55">
        <v>12</v>
      </c>
      <c r="P55">
        <v>2</v>
      </c>
      <c r="Q55">
        <v>0</v>
      </c>
      <c r="R55">
        <v>4.5599999999999996</v>
      </c>
      <c r="S55">
        <v>0.1</v>
      </c>
      <c r="T55">
        <v>0.05</v>
      </c>
      <c r="U55">
        <v>1.4999999999999999E-2</v>
      </c>
      <c r="V55">
        <v>0.01</v>
      </c>
      <c r="W55">
        <v>0.02</v>
      </c>
      <c r="X55">
        <v>1E-3</v>
      </c>
      <c r="AB55">
        <v>0.7599999999999999</v>
      </c>
      <c r="AC55">
        <v>1.45</v>
      </c>
      <c r="AD55">
        <v>2.1</v>
      </c>
      <c r="AE55">
        <v>3.47</v>
      </c>
      <c r="AF55">
        <v>12.8</v>
      </c>
      <c r="AG55">
        <v>54.9</v>
      </c>
      <c r="AH55">
        <v>99.2</v>
      </c>
      <c r="AI55">
        <v>170.4</v>
      </c>
      <c r="AM55" s="6">
        <v>45601</v>
      </c>
    </row>
    <row r="56" spans="1:39" x14ac:dyDescent="0.2">
      <c r="A56" t="s">
        <v>337</v>
      </c>
      <c r="B56" t="s">
        <v>430</v>
      </c>
      <c r="D56" t="s">
        <v>339</v>
      </c>
      <c r="E56" t="s">
        <v>339</v>
      </c>
      <c r="F56" t="s">
        <v>339</v>
      </c>
      <c r="G56">
        <v>0</v>
      </c>
      <c r="H56" t="s">
        <v>361</v>
      </c>
      <c r="I56">
        <v>100</v>
      </c>
      <c r="K56">
        <v>12</v>
      </c>
      <c r="L56">
        <v>0</v>
      </c>
      <c r="M56">
        <v>12</v>
      </c>
      <c r="N56">
        <v>7</v>
      </c>
      <c r="O56">
        <v>33</v>
      </c>
      <c r="P56">
        <v>1</v>
      </c>
      <c r="Q56">
        <v>5</v>
      </c>
      <c r="R56">
        <v>0</v>
      </c>
      <c r="S56">
        <v>7.4999999999999983E-2</v>
      </c>
      <c r="T56">
        <v>0.05</v>
      </c>
      <c r="U56">
        <v>0.01</v>
      </c>
      <c r="V56">
        <v>0.02</v>
      </c>
      <c r="W56">
        <v>0.03</v>
      </c>
      <c r="X56">
        <v>1E-3</v>
      </c>
      <c r="Y56">
        <v>0</v>
      </c>
      <c r="AA56">
        <v>0</v>
      </c>
      <c r="AB56">
        <v>0.7</v>
      </c>
      <c r="AC56">
        <v>1.3</v>
      </c>
      <c r="AD56">
        <v>1.9</v>
      </c>
      <c r="AE56">
        <v>2.6</v>
      </c>
      <c r="AH56">
        <v>90</v>
      </c>
      <c r="AJ56">
        <v>0</v>
      </c>
      <c r="AM56" s="6">
        <v>45601</v>
      </c>
    </row>
    <row r="57" spans="1:39" x14ac:dyDescent="0.2">
      <c r="A57" t="s">
        <v>372</v>
      </c>
      <c r="B57" t="s">
        <v>431</v>
      </c>
      <c r="D57" t="s">
        <v>339</v>
      </c>
      <c r="G57">
        <v>0</v>
      </c>
      <c r="H57" t="s">
        <v>369</v>
      </c>
      <c r="I57">
        <v>70</v>
      </c>
      <c r="K57">
        <v>11.9</v>
      </c>
      <c r="L57">
        <v>5.0999999999999996</v>
      </c>
      <c r="M57">
        <v>17</v>
      </c>
      <c r="N57">
        <v>7</v>
      </c>
      <c r="O57">
        <v>27</v>
      </c>
      <c r="P57">
        <v>2</v>
      </c>
      <c r="Q57">
        <v>0</v>
      </c>
      <c r="R57">
        <v>4</v>
      </c>
      <c r="S57">
        <v>0.12</v>
      </c>
      <c r="T57">
        <v>0.05</v>
      </c>
      <c r="U57">
        <v>5.3999999999999999E-2</v>
      </c>
      <c r="V57">
        <v>0.01</v>
      </c>
      <c r="W57">
        <v>8.9999999999999976E-3</v>
      </c>
      <c r="X57">
        <v>6.8000000000000019E-2</v>
      </c>
      <c r="AA57" t="s">
        <v>375</v>
      </c>
      <c r="AB57">
        <v>0.7</v>
      </c>
      <c r="AC57">
        <v>1.4</v>
      </c>
      <c r="AD57">
        <v>2.2235294117647046</v>
      </c>
      <c r="AE57">
        <v>2.8960784313725485</v>
      </c>
      <c r="AF57">
        <v>13.588235294117649</v>
      </c>
      <c r="AG57">
        <v>60.39215686274509</v>
      </c>
      <c r="AH57">
        <v>107.74509803921568</v>
      </c>
      <c r="AI57">
        <v>182.54901960784304</v>
      </c>
      <c r="AM57" s="6">
        <v>45601</v>
      </c>
    </row>
    <row r="58" spans="1:39" x14ac:dyDescent="0.2">
      <c r="A58" t="s">
        <v>337</v>
      </c>
      <c r="B58" t="s">
        <v>432</v>
      </c>
      <c r="D58" t="s">
        <v>339</v>
      </c>
      <c r="E58" t="s">
        <v>339</v>
      </c>
      <c r="F58" t="s">
        <v>339</v>
      </c>
      <c r="G58">
        <v>0</v>
      </c>
      <c r="H58" t="s">
        <v>361</v>
      </c>
      <c r="I58">
        <v>100</v>
      </c>
      <c r="K58">
        <v>12</v>
      </c>
      <c r="L58">
        <v>0</v>
      </c>
      <c r="M58">
        <v>12</v>
      </c>
      <c r="N58">
        <v>7</v>
      </c>
      <c r="O58">
        <v>25</v>
      </c>
      <c r="P58">
        <v>2</v>
      </c>
      <c r="Q58">
        <v>8</v>
      </c>
      <c r="R58">
        <v>0</v>
      </c>
      <c r="S58">
        <v>0.1</v>
      </c>
      <c r="T58">
        <v>0.05</v>
      </c>
      <c r="U58">
        <v>0.02</v>
      </c>
      <c r="V58">
        <v>0.02</v>
      </c>
      <c r="W58">
        <v>0.05</v>
      </c>
      <c r="X58">
        <v>1E-3</v>
      </c>
      <c r="Y58">
        <v>0</v>
      </c>
      <c r="AA58">
        <v>0</v>
      </c>
      <c r="AB58">
        <v>0.7</v>
      </c>
      <c r="AC58">
        <v>1.3</v>
      </c>
      <c r="AD58">
        <v>1.9</v>
      </c>
      <c r="AE58">
        <v>2.5</v>
      </c>
      <c r="AG58">
        <v>44</v>
      </c>
      <c r="AH58">
        <v>76</v>
      </c>
      <c r="AI58">
        <v>125</v>
      </c>
      <c r="AJ58">
        <v>0</v>
      </c>
      <c r="AM58" s="6">
        <v>45601</v>
      </c>
    </row>
    <row r="59" spans="1:39" x14ac:dyDescent="0.2">
      <c r="A59" t="s">
        <v>337</v>
      </c>
      <c r="B59" t="s">
        <v>433</v>
      </c>
      <c r="E59" t="s">
        <v>339</v>
      </c>
      <c r="F59" t="s">
        <v>339</v>
      </c>
      <c r="G59">
        <v>0</v>
      </c>
      <c r="H59" t="s">
        <v>434</v>
      </c>
      <c r="I59">
        <v>0</v>
      </c>
      <c r="K59">
        <v>0</v>
      </c>
      <c r="L59">
        <v>7</v>
      </c>
      <c r="M59">
        <v>7</v>
      </c>
      <c r="N59">
        <v>7</v>
      </c>
      <c r="O59">
        <v>23</v>
      </c>
      <c r="P59">
        <v>4</v>
      </c>
      <c r="Q59">
        <v>0</v>
      </c>
      <c r="R59">
        <v>54</v>
      </c>
      <c r="S59">
        <v>0.15</v>
      </c>
      <c r="T59">
        <v>0.05</v>
      </c>
      <c r="U59">
        <v>0.01</v>
      </c>
      <c r="V59">
        <v>0.02</v>
      </c>
      <c r="W59">
        <v>0.04</v>
      </c>
      <c r="X59">
        <v>1E-3</v>
      </c>
      <c r="Y59">
        <v>0</v>
      </c>
      <c r="AA59">
        <v>0</v>
      </c>
      <c r="AB59">
        <v>0.8</v>
      </c>
      <c r="AC59">
        <v>1.6</v>
      </c>
      <c r="AD59">
        <v>2.4</v>
      </c>
      <c r="AE59">
        <v>3.1</v>
      </c>
      <c r="AH59">
        <v>90</v>
      </c>
      <c r="AJ59">
        <v>0</v>
      </c>
      <c r="AM59" s="6">
        <v>45601</v>
      </c>
    </row>
    <row r="60" spans="1:39" x14ac:dyDescent="0.2">
      <c r="A60" t="s">
        <v>337</v>
      </c>
      <c r="B60" t="s">
        <v>435</v>
      </c>
      <c r="D60" t="s">
        <v>339</v>
      </c>
      <c r="E60" t="s">
        <v>339</v>
      </c>
      <c r="G60">
        <v>0</v>
      </c>
      <c r="H60" t="s">
        <v>382</v>
      </c>
      <c r="I60">
        <v>66</v>
      </c>
      <c r="K60">
        <v>10</v>
      </c>
      <c r="L60">
        <v>5</v>
      </c>
      <c r="M60">
        <v>15</v>
      </c>
      <c r="N60">
        <v>7</v>
      </c>
      <c r="O60">
        <v>22</v>
      </c>
      <c r="P60">
        <v>6</v>
      </c>
      <c r="Q60">
        <v>0</v>
      </c>
      <c r="R60">
        <v>14.1</v>
      </c>
      <c r="S60">
        <v>0.12</v>
      </c>
      <c r="T60">
        <v>0.05</v>
      </c>
      <c r="U60">
        <v>0.01</v>
      </c>
      <c r="V60">
        <v>0.03</v>
      </c>
      <c r="W60">
        <v>2E-3</v>
      </c>
      <c r="X60">
        <v>5.0000000000000001E-3</v>
      </c>
      <c r="Y60">
        <v>0</v>
      </c>
      <c r="AA60">
        <v>0</v>
      </c>
      <c r="AB60">
        <v>0.7</v>
      </c>
      <c r="AC60">
        <v>1.3</v>
      </c>
      <c r="AD60">
        <v>2</v>
      </c>
      <c r="AE60">
        <v>2.6</v>
      </c>
      <c r="AF60">
        <v>11</v>
      </c>
      <c r="AG60">
        <v>48</v>
      </c>
      <c r="AH60">
        <v>85</v>
      </c>
      <c r="AI60">
        <v>140</v>
      </c>
      <c r="AJ60">
        <v>0</v>
      </c>
      <c r="AM60" s="6">
        <v>45601</v>
      </c>
    </row>
    <row r="61" spans="1:39" x14ac:dyDescent="0.2">
      <c r="A61" t="s">
        <v>341</v>
      </c>
      <c r="B61" t="s">
        <v>436</v>
      </c>
      <c r="D61" t="s">
        <v>339</v>
      </c>
      <c r="F61" t="s">
        <v>339</v>
      </c>
      <c r="G61">
        <v>0</v>
      </c>
      <c r="H61" t="s">
        <v>382</v>
      </c>
      <c r="I61">
        <v>66</v>
      </c>
      <c r="K61">
        <v>10</v>
      </c>
      <c r="L61">
        <v>5</v>
      </c>
      <c r="M61">
        <v>15</v>
      </c>
      <c r="N61">
        <v>7</v>
      </c>
      <c r="O61">
        <v>22</v>
      </c>
      <c r="P61">
        <v>6</v>
      </c>
      <c r="Q61">
        <v>0</v>
      </c>
      <c r="S61">
        <v>0.1</v>
      </c>
      <c r="T61">
        <v>0.05</v>
      </c>
      <c r="U61">
        <v>2.5000000000000001E-2</v>
      </c>
      <c r="V61">
        <v>2.5000000000000001E-2</v>
      </c>
      <c r="W61">
        <v>0.01</v>
      </c>
      <c r="X61">
        <v>2.5000000000000001E-3</v>
      </c>
      <c r="AB61">
        <v>0.7</v>
      </c>
      <c r="AC61">
        <v>1.3</v>
      </c>
      <c r="AD61">
        <v>2</v>
      </c>
      <c r="AE61">
        <v>2.6</v>
      </c>
      <c r="AF61">
        <v>11</v>
      </c>
      <c r="AG61">
        <v>46</v>
      </c>
      <c r="AH61">
        <v>82</v>
      </c>
      <c r="AI61">
        <v>138</v>
      </c>
      <c r="AM61" s="6">
        <v>45601</v>
      </c>
    </row>
    <row r="62" spans="1:39" x14ac:dyDescent="0.2">
      <c r="A62" t="s">
        <v>372</v>
      </c>
      <c r="B62" t="s">
        <v>437</v>
      </c>
      <c r="D62" t="s">
        <v>339</v>
      </c>
      <c r="G62">
        <v>0</v>
      </c>
      <c r="H62" t="s">
        <v>344</v>
      </c>
      <c r="I62">
        <v>83</v>
      </c>
      <c r="K62">
        <v>11.7</v>
      </c>
      <c r="L62">
        <v>2.2999999999999998</v>
      </c>
      <c r="M62">
        <v>14</v>
      </c>
      <c r="N62">
        <v>7</v>
      </c>
      <c r="O62">
        <v>22</v>
      </c>
      <c r="P62">
        <v>2</v>
      </c>
      <c r="Q62">
        <v>5</v>
      </c>
      <c r="S62">
        <v>0.12</v>
      </c>
      <c r="T62">
        <v>0.04</v>
      </c>
      <c r="U62">
        <v>0.01</v>
      </c>
      <c r="V62">
        <v>0.01</v>
      </c>
      <c r="W62">
        <v>0.01</v>
      </c>
      <c r="X62">
        <v>1E-3</v>
      </c>
      <c r="AA62" t="s">
        <v>375</v>
      </c>
      <c r="AB62">
        <v>0.66272721918068467</v>
      </c>
      <c r="AC62">
        <v>1.3</v>
      </c>
      <c r="AD62">
        <v>1.9711391675665881</v>
      </c>
      <c r="AE62">
        <v>2.6764896288872446</v>
      </c>
      <c r="AF62">
        <v>12.58772596301019</v>
      </c>
      <c r="AG62">
        <v>53.545415718759273</v>
      </c>
      <c r="AH62">
        <v>94.528024488906226</v>
      </c>
      <c r="AI62">
        <v>158.21708202226426</v>
      </c>
      <c r="AM62" s="6">
        <v>45601</v>
      </c>
    </row>
    <row r="63" spans="1:39" x14ac:dyDescent="0.2">
      <c r="A63" t="s">
        <v>372</v>
      </c>
      <c r="B63" t="s">
        <v>438</v>
      </c>
      <c r="D63" t="s">
        <v>339</v>
      </c>
      <c r="G63">
        <v>13.3</v>
      </c>
      <c r="H63" t="s">
        <v>439</v>
      </c>
      <c r="I63">
        <v>81</v>
      </c>
      <c r="K63">
        <v>6.3</v>
      </c>
      <c r="L63">
        <v>1.4</v>
      </c>
      <c r="M63">
        <v>21</v>
      </c>
      <c r="N63">
        <v>7</v>
      </c>
      <c r="O63">
        <v>21</v>
      </c>
      <c r="P63">
        <v>3</v>
      </c>
      <c r="Q63">
        <v>0</v>
      </c>
      <c r="R63">
        <v>6.3</v>
      </c>
      <c r="S63">
        <v>0.12</v>
      </c>
      <c r="T63">
        <v>0.06</v>
      </c>
      <c r="U63">
        <v>1.4999999999999999E-2</v>
      </c>
      <c r="V63">
        <v>0.02</v>
      </c>
      <c r="W63">
        <v>1.4999999999999999E-2</v>
      </c>
      <c r="X63">
        <v>0.01</v>
      </c>
      <c r="AA63" t="s">
        <v>375</v>
      </c>
      <c r="AB63">
        <v>0.40960000000000002</v>
      </c>
      <c r="AC63">
        <v>0.8</v>
      </c>
      <c r="AD63">
        <v>1.2800000000000002</v>
      </c>
      <c r="AE63">
        <v>1.6576000000000004</v>
      </c>
      <c r="AF63">
        <v>7.4879999999999987</v>
      </c>
      <c r="AG63">
        <v>33.28</v>
      </c>
      <c r="AH63">
        <v>59.2</v>
      </c>
      <c r="AI63">
        <v>99.84</v>
      </c>
      <c r="AM63" s="6">
        <v>45601</v>
      </c>
    </row>
    <row r="64" spans="1:39" x14ac:dyDescent="0.2">
      <c r="A64" t="s">
        <v>337</v>
      </c>
      <c r="B64" t="s">
        <v>440</v>
      </c>
      <c r="D64" t="s">
        <v>339</v>
      </c>
      <c r="E64" t="s">
        <v>339</v>
      </c>
      <c r="F64" t="s">
        <v>339</v>
      </c>
      <c r="G64">
        <v>0</v>
      </c>
      <c r="H64" t="s">
        <v>415</v>
      </c>
      <c r="I64">
        <v>67</v>
      </c>
      <c r="K64">
        <v>13.5</v>
      </c>
      <c r="L64">
        <v>6.5</v>
      </c>
      <c r="M64">
        <v>20</v>
      </c>
      <c r="N64">
        <v>7</v>
      </c>
      <c r="O64">
        <v>15</v>
      </c>
      <c r="P64">
        <v>1</v>
      </c>
      <c r="Q64">
        <v>5</v>
      </c>
      <c r="R64">
        <v>0</v>
      </c>
      <c r="S64">
        <v>7.4999999999999983E-2</v>
      </c>
      <c r="T64">
        <v>0.05</v>
      </c>
      <c r="U64">
        <v>0.01</v>
      </c>
      <c r="V64">
        <v>0.02</v>
      </c>
      <c r="W64">
        <v>0.03</v>
      </c>
      <c r="X64">
        <v>1E-3</v>
      </c>
      <c r="Y64">
        <v>0</v>
      </c>
      <c r="AA64">
        <v>0</v>
      </c>
      <c r="AB64">
        <v>0.7</v>
      </c>
      <c r="AC64">
        <v>1.4</v>
      </c>
      <c r="AD64">
        <v>2</v>
      </c>
      <c r="AE64">
        <v>2.8</v>
      </c>
      <c r="AH64">
        <v>85</v>
      </c>
      <c r="AJ64">
        <v>0</v>
      </c>
      <c r="AM64" s="6">
        <v>45601</v>
      </c>
    </row>
    <row r="65" spans="1:39" x14ac:dyDescent="0.2">
      <c r="A65" t="s">
        <v>372</v>
      </c>
      <c r="B65" t="s">
        <v>441</v>
      </c>
      <c r="D65" t="s">
        <v>339</v>
      </c>
      <c r="G65">
        <v>1.1000000000000001</v>
      </c>
      <c r="H65" t="s">
        <v>442</v>
      </c>
      <c r="I65">
        <v>71</v>
      </c>
      <c r="K65">
        <v>12</v>
      </c>
      <c r="L65">
        <v>4.9000000000000004</v>
      </c>
      <c r="M65">
        <v>18</v>
      </c>
      <c r="N65">
        <v>7</v>
      </c>
      <c r="O65">
        <v>12</v>
      </c>
      <c r="P65">
        <v>2</v>
      </c>
      <c r="Q65">
        <v>6</v>
      </c>
      <c r="S65">
        <v>0.12</v>
      </c>
      <c r="T65">
        <v>0.04</v>
      </c>
      <c r="U65">
        <v>0.01</v>
      </c>
      <c r="V65">
        <v>0.01</v>
      </c>
      <c r="W65">
        <v>0.01</v>
      </c>
      <c r="X65">
        <v>1E-3</v>
      </c>
      <c r="AA65" t="s">
        <v>375</v>
      </c>
      <c r="AB65">
        <v>0.66272721918068467</v>
      </c>
      <c r="AC65">
        <v>1.3</v>
      </c>
      <c r="AD65">
        <v>1.9711391675665881</v>
      </c>
      <c r="AE65">
        <v>2.6764896288872446</v>
      </c>
      <c r="AF65">
        <v>12.58772596301019</v>
      </c>
      <c r="AG65">
        <v>53.545415718759273</v>
      </c>
      <c r="AH65">
        <v>94.528024488906226</v>
      </c>
      <c r="AI65">
        <v>158.21708202226426</v>
      </c>
      <c r="AM65" s="6">
        <v>45601</v>
      </c>
    </row>
    <row r="66" spans="1:39" x14ac:dyDescent="0.2">
      <c r="A66" t="s">
        <v>337</v>
      </c>
      <c r="B66" t="s">
        <v>443</v>
      </c>
      <c r="D66" t="s">
        <v>339</v>
      </c>
      <c r="E66" t="s">
        <v>339</v>
      </c>
      <c r="F66" t="s">
        <v>339</v>
      </c>
      <c r="G66">
        <v>0</v>
      </c>
      <c r="H66" t="s">
        <v>348</v>
      </c>
      <c r="I66">
        <v>42</v>
      </c>
      <c r="K66">
        <v>8.5</v>
      </c>
      <c r="L66">
        <v>11.5</v>
      </c>
      <c r="M66">
        <v>20</v>
      </c>
      <c r="N66">
        <v>7</v>
      </c>
      <c r="O66">
        <v>10</v>
      </c>
      <c r="P66">
        <v>2</v>
      </c>
      <c r="Q66">
        <v>0</v>
      </c>
      <c r="R66">
        <v>24.3</v>
      </c>
      <c r="S66">
        <v>7.4999999999999983E-2</v>
      </c>
      <c r="T66">
        <v>0.05</v>
      </c>
      <c r="U66">
        <v>0.01</v>
      </c>
      <c r="V66">
        <v>0.02</v>
      </c>
      <c r="W66">
        <v>0.03</v>
      </c>
      <c r="X66">
        <v>1E-3</v>
      </c>
      <c r="Y66">
        <v>0</v>
      </c>
      <c r="AA66">
        <v>0</v>
      </c>
      <c r="AB66">
        <v>0.8</v>
      </c>
      <c r="AC66">
        <v>1.5</v>
      </c>
      <c r="AD66">
        <v>2.2999999999999998</v>
      </c>
      <c r="AE66">
        <v>3</v>
      </c>
      <c r="AF66">
        <v>12</v>
      </c>
      <c r="AG66">
        <v>54</v>
      </c>
      <c r="AH66">
        <v>96</v>
      </c>
      <c r="AI66">
        <v>164</v>
      </c>
      <c r="AJ66">
        <v>0</v>
      </c>
      <c r="AM66" s="6">
        <v>45601</v>
      </c>
    </row>
    <row r="67" spans="1:39" x14ac:dyDescent="0.2">
      <c r="A67" t="s">
        <v>359</v>
      </c>
      <c r="B67" t="s">
        <v>444</v>
      </c>
      <c r="D67" t="s">
        <v>339</v>
      </c>
      <c r="E67" t="s">
        <v>339</v>
      </c>
      <c r="F67" t="s">
        <v>339</v>
      </c>
      <c r="G67">
        <v>0</v>
      </c>
      <c r="H67" t="s">
        <v>386</v>
      </c>
      <c r="I67">
        <v>40</v>
      </c>
      <c r="K67">
        <v>8.0999999999999979</v>
      </c>
      <c r="L67">
        <v>11.9</v>
      </c>
      <c r="M67">
        <v>20</v>
      </c>
      <c r="N67">
        <v>7</v>
      </c>
      <c r="O67">
        <v>10</v>
      </c>
      <c r="P67">
        <v>3</v>
      </c>
      <c r="Q67">
        <v>0</v>
      </c>
      <c r="R67">
        <v>27</v>
      </c>
      <c r="S67">
        <v>7.4999999999999997E-2</v>
      </c>
      <c r="T67">
        <v>0.05</v>
      </c>
      <c r="U67">
        <v>1.4999999999999999E-2</v>
      </c>
      <c r="V67">
        <v>0.01</v>
      </c>
      <c r="W67">
        <v>0.02</v>
      </c>
      <c r="X67">
        <v>1E-3</v>
      </c>
      <c r="AB67">
        <v>0.79</v>
      </c>
      <c r="AC67">
        <v>1.51</v>
      </c>
      <c r="AD67">
        <v>2.23</v>
      </c>
      <c r="AE67">
        <v>2.89</v>
      </c>
      <c r="AF67">
        <v>13</v>
      </c>
      <c r="AG67">
        <v>53.2</v>
      </c>
      <c r="AH67">
        <v>94.5</v>
      </c>
      <c r="AI67">
        <v>157.4</v>
      </c>
      <c r="AM67" s="6">
        <v>45601</v>
      </c>
    </row>
    <row r="68" spans="1:39" x14ac:dyDescent="0.2">
      <c r="A68" t="s">
        <v>337</v>
      </c>
      <c r="B68" t="s">
        <v>445</v>
      </c>
      <c r="E68" t="s">
        <v>339</v>
      </c>
      <c r="G68">
        <v>0</v>
      </c>
      <c r="H68" t="s">
        <v>361</v>
      </c>
      <c r="I68">
        <v>100</v>
      </c>
      <c r="K68">
        <v>4</v>
      </c>
      <c r="L68">
        <v>0</v>
      </c>
      <c r="M68">
        <v>4</v>
      </c>
      <c r="N68">
        <v>8</v>
      </c>
      <c r="O68">
        <v>40</v>
      </c>
      <c r="P68">
        <v>4</v>
      </c>
      <c r="Q68">
        <v>0</v>
      </c>
      <c r="R68">
        <v>10.6</v>
      </c>
      <c r="S68">
        <v>0.2</v>
      </c>
      <c r="T68">
        <v>0.04</v>
      </c>
      <c r="U68">
        <v>5.0000000000000001E-3</v>
      </c>
      <c r="V68">
        <v>0.02</v>
      </c>
      <c r="W68">
        <v>3.0000000000000001E-3</v>
      </c>
      <c r="X68">
        <v>6.0000000000000001E-3</v>
      </c>
      <c r="Y68">
        <v>0</v>
      </c>
      <c r="AA68">
        <v>0</v>
      </c>
      <c r="AB68">
        <v>0.6</v>
      </c>
      <c r="AC68">
        <v>1.4</v>
      </c>
      <c r="AD68">
        <v>1.9</v>
      </c>
      <c r="AE68">
        <v>2.6</v>
      </c>
      <c r="AF68">
        <v>9.5</v>
      </c>
      <c r="AG68">
        <v>38</v>
      </c>
      <c r="AH68">
        <v>62</v>
      </c>
      <c r="AI68">
        <v>110</v>
      </c>
      <c r="AJ68">
        <v>0</v>
      </c>
      <c r="AM68" s="6">
        <v>45601</v>
      </c>
    </row>
    <row r="69" spans="1:39" x14ac:dyDescent="0.2">
      <c r="A69" t="s">
        <v>341</v>
      </c>
      <c r="B69" t="s">
        <v>446</v>
      </c>
      <c r="D69" t="s">
        <v>339</v>
      </c>
      <c r="F69" t="s">
        <v>339</v>
      </c>
      <c r="G69">
        <v>0</v>
      </c>
      <c r="H69" t="s">
        <v>361</v>
      </c>
      <c r="I69">
        <v>100</v>
      </c>
      <c r="K69">
        <v>4</v>
      </c>
      <c r="M69">
        <v>4</v>
      </c>
      <c r="N69">
        <v>8</v>
      </c>
      <c r="O69">
        <v>40</v>
      </c>
      <c r="P69">
        <v>4</v>
      </c>
      <c r="Q69">
        <v>0</v>
      </c>
      <c r="S69">
        <v>0.1</v>
      </c>
      <c r="T69">
        <v>0.05</v>
      </c>
      <c r="U69">
        <v>2.5000000000000001E-2</v>
      </c>
      <c r="V69">
        <v>2.5000000000000001E-2</v>
      </c>
      <c r="W69">
        <v>0.01</v>
      </c>
      <c r="X69">
        <v>2.5000000000000001E-3</v>
      </c>
      <c r="AB69">
        <v>0.6</v>
      </c>
      <c r="AC69">
        <v>1.3</v>
      </c>
      <c r="AD69">
        <v>1.9</v>
      </c>
      <c r="AE69">
        <v>2.6</v>
      </c>
      <c r="AF69">
        <v>11</v>
      </c>
      <c r="AG69">
        <v>44</v>
      </c>
      <c r="AH69">
        <v>78</v>
      </c>
      <c r="AI69">
        <v>128</v>
      </c>
      <c r="AM69" s="6">
        <v>45601</v>
      </c>
    </row>
    <row r="70" spans="1:39" x14ac:dyDescent="0.2">
      <c r="A70" t="s">
        <v>366</v>
      </c>
      <c r="B70" t="s">
        <v>447</v>
      </c>
      <c r="D70" t="s">
        <v>339</v>
      </c>
      <c r="F70" t="s">
        <v>339</v>
      </c>
      <c r="G70">
        <v>0</v>
      </c>
      <c r="H70" t="s">
        <v>391</v>
      </c>
      <c r="I70">
        <v>20</v>
      </c>
      <c r="K70">
        <v>1</v>
      </c>
      <c r="L70">
        <v>4</v>
      </c>
      <c r="M70">
        <v>5</v>
      </c>
      <c r="N70">
        <v>8</v>
      </c>
      <c r="O70">
        <v>12</v>
      </c>
      <c r="Q70">
        <v>0</v>
      </c>
      <c r="S70">
        <v>0.02</v>
      </c>
      <c r="T70">
        <v>1.2E-2</v>
      </c>
      <c r="U70">
        <v>4.0000000000000001E-3</v>
      </c>
      <c r="V70">
        <v>0.01</v>
      </c>
      <c r="W70">
        <v>4.0000000000000001E-3</v>
      </c>
      <c r="X70">
        <v>1E-3</v>
      </c>
      <c r="AA70">
        <v>1.2</v>
      </c>
      <c r="AB70">
        <v>0.27</v>
      </c>
      <c r="AC70">
        <v>0.51</v>
      </c>
      <c r="AD70">
        <v>0.77</v>
      </c>
      <c r="AE70">
        <v>0.99</v>
      </c>
      <c r="AH70">
        <v>26</v>
      </c>
      <c r="AM70" s="6">
        <v>45601</v>
      </c>
    </row>
    <row r="71" spans="1:39" x14ac:dyDescent="0.2">
      <c r="A71" t="s">
        <v>359</v>
      </c>
      <c r="B71" t="s">
        <v>448</v>
      </c>
      <c r="D71" t="s">
        <v>339</v>
      </c>
      <c r="E71" t="s">
        <v>339</v>
      </c>
      <c r="F71" t="s">
        <v>339</v>
      </c>
      <c r="G71">
        <v>3.8</v>
      </c>
      <c r="H71" t="s">
        <v>384</v>
      </c>
      <c r="I71">
        <v>33</v>
      </c>
      <c r="K71">
        <v>1.4</v>
      </c>
      <c r="L71">
        <v>2.8</v>
      </c>
      <c r="M71">
        <v>8</v>
      </c>
      <c r="N71">
        <v>8</v>
      </c>
      <c r="O71">
        <v>6</v>
      </c>
      <c r="P71">
        <v>0.04</v>
      </c>
      <c r="Q71">
        <v>0</v>
      </c>
      <c r="S71">
        <v>0.02</v>
      </c>
      <c r="T71">
        <v>0.01</v>
      </c>
      <c r="U71">
        <v>2E-3</v>
      </c>
      <c r="V71">
        <v>0.01</v>
      </c>
      <c r="W71">
        <v>2E-3</v>
      </c>
      <c r="X71">
        <v>1E-3</v>
      </c>
      <c r="AA71">
        <v>1.23</v>
      </c>
      <c r="AB71">
        <v>0.24</v>
      </c>
      <c r="AC71">
        <v>0.44</v>
      </c>
      <c r="AD71">
        <v>0.66000000000000014</v>
      </c>
      <c r="AE71">
        <v>0.85999999999999976</v>
      </c>
      <c r="AF71">
        <v>4</v>
      </c>
      <c r="AG71">
        <v>17.100000000000001</v>
      </c>
      <c r="AH71">
        <v>31.4</v>
      </c>
      <c r="AI71">
        <v>56.3</v>
      </c>
      <c r="AM71" s="6">
        <v>45601</v>
      </c>
    </row>
    <row r="72" spans="1:39" x14ac:dyDescent="0.2">
      <c r="A72" t="s">
        <v>366</v>
      </c>
      <c r="B72" t="s">
        <v>449</v>
      </c>
      <c r="G72">
        <v>4.3</v>
      </c>
      <c r="H72" t="s">
        <v>361</v>
      </c>
      <c r="I72">
        <v>100</v>
      </c>
      <c r="K72">
        <v>0.7</v>
      </c>
      <c r="M72">
        <v>5</v>
      </c>
      <c r="N72">
        <v>8</v>
      </c>
      <c r="O72">
        <v>10</v>
      </c>
      <c r="Q72">
        <v>0</v>
      </c>
      <c r="AC72">
        <v>0.31</v>
      </c>
      <c r="AE72">
        <v>0.56000000000000005</v>
      </c>
      <c r="AM72" s="6">
        <v>45601</v>
      </c>
    </row>
    <row r="73" spans="1:39" x14ac:dyDescent="0.2">
      <c r="A73" t="s">
        <v>366</v>
      </c>
      <c r="B73" t="s">
        <v>450</v>
      </c>
      <c r="D73" t="s">
        <v>339</v>
      </c>
      <c r="G73">
        <v>2.4</v>
      </c>
      <c r="H73" t="s">
        <v>451</v>
      </c>
      <c r="I73">
        <v>44</v>
      </c>
      <c r="K73">
        <v>2.5</v>
      </c>
      <c r="L73">
        <v>3.1</v>
      </c>
      <c r="M73">
        <v>8</v>
      </c>
      <c r="N73">
        <v>8</v>
      </c>
      <c r="O73">
        <v>6</v>
      </c>
      <c r="Q73">
        <v>0</v>
      </c>
      <c r="S73">
        <v>0.02</v>
      </c>
      <c r="T73">
        <v>1.2E-2</v>
      </c>
      <c r="U73">
        <v>2E-3</v>
      </c>
      <c r="V73">
        <v>0.01</v>
      </c>
      <c r="W73">
        <v>2E-3</v>
      </c>
      <c r="X73">
        <v>0.01</v>
      </c>
      <c r="AA73">
        <v>1.22</v>
      </c>
      <c r="AB73">
        <v>0.24</v>
      </c>
      <c r="AC73">
        <v>0.52</v>
      </c>
      <c r="AD73">
        <v>0.66000000000000014</v>
      </c>
      <c r="AE73">
        <v>0.93</v>
      </c>
      <c r="AF73">
        <v>4</v>
      </c>
      <c r="AG73">
        <v>16</v>
      </c>
      <c r="AH73">
        <v>28</v>
      </c>
      <c r="AI73">
        <v>50</v>
      </c>
      <c r="AM73" s="6">
        <v>45601</v>
      </c>
    </row>
    <row r="74" spans="1:39" x14ac:dyDescent="0.2">
      <c r="A74" t="s">
        <v>366</v>
      </c>
      <c r="B74" t="s">
        <v>452</v>
      </c>
      <c r="G74">
        <v>2.4</v>
      </c>
      <c r="H74" t="s">
        <v>451</v>
      </c>
      <c r="I74">
        <v>44</v>
      </c>
      <c r="K74">
        <v>2.5</v>
      </c>
      <c r="L74">
        <v>3.1</v>
      </c>
      <c r="M74">
        <v>8</v>
      </c>
      <c r="N74">
        <v>8</v>
      </c>
      <c r="O74">
        <v>6</v>
      </c>
      <c r="Q74">
        <v>0</v>
      </c>
      <c r="AC74">
        <v>0.49</v>
      </c>
      <c r="AE74">
        <v>0.94</v>
      </c>
      <c r="AM74" s="6">
        <v>45601</v>
      </c>
    </row>
    <row r="75" spans="1:39" x14ac:dyDescent="0.2">
      <c r="A75" t="s">
        <v>359</v>
      </c>
      <c r="B75" t="s">
        <v>453</v>
      </c>
      <c r="D75" t="s">
        <v>339</v>
      </c>
      <c r="E75" t="s">
        <v>339</v>
      </c>
      <c r="F75" t="s">
        <v>339</v>
      </c>
      <c r="G75">
        <v>0</v>
      </c>
      <c r="H75" t="s">
        <v>454</v>
      </c>
      <c r="I75">
        <v>60</v>
      </c>
      <c r="K75">
        <v>9.6999999999999993</v>
      </c>
      <c r="L75">
        <v>6.3</v>
      </c>
      <c r="M75">
        <v>16</v>
      </c>
      <c r="N75">
        <v>8</v>
      </c>
      <c r="O75">
        <v>22</v>
      </c>
      <c r="P75">
        <v>3</v>
      </c>
      <c r="Q75">
        <v>0</v>
      </c>
      <c r="R75">
        <v>12</v>
      </c>
      <c r="S75">
        <v>0.15</v>
      </c>
      <c r="T75">
        <v>2.5000000000000001E-3</v>
      </c>
      <c r="U75">
        <v>1.4999999999999999E-2</v>
      </c>
      <c r="V75">
        <v>0.02</v>
      </c>
      <c r="W75">
        <v>0.02</v>
      </c>
      <c r="X75">
        <v>1E-3</v>
      </c>
      <c r="AB75">
        <v>0.7</v>
      </c>
      <c r="AC75">
        <v>1.37</v>
      </c>
      <c r="AD75">
        <v>2.0299999999999998</v>
      </c>
      <c r="AE75">
        <v>2.64</v>
      </c>
      <c r="AF75">
        <v>11.7</v>
      </c>
      <c r="AG75">
        <v>49.3</v>
      </c>
      <c r="AH75">
        <v>88</v>
      </c>
      <c r="AI75">
        <v>148.6</v>
      </c>
      <c r="AM75" s="6">
        <v>45601</v>
      </c>
    </row>
    <row r="76" spans="1:39" x14ac:dyDescent="0.2">
      <c r="A76" t="s">
        <v>366</v>
      </c>
      <c r="B76" t="s">
        <v>455</v>
      </c>
      <c r="D76" t="s">
        <v>339</v>
      </c>
      <c r="E76" t="s">
        <v>339</v>
      </c>
      <c r="G76">
        <v>2</v>
      </c>
      <c r="H76" t="s">
        <v>456</v>
      </c>
      <c r="I76">
        <v>38</v>
      </c>
      <c r="K76">
        <v>2.2999999999999998</v>
      </c>
      <c r="L76">
        <v>3.7</v>
      </c>
      <c r="M76">
        <v>8</v>
      </c>
      <c r="N76">
        <v>8</v>
      </c>
      <c r="O76">
        <v>6</v>
      </c>
      <c r="Q76">
        <v>0</v>
      </c>
      <c r="S76">
        <v>0.02</v>
      </c>
      <c r="T76">
        <v>1.2E-2</v>
      </c>
      <c r="U76">
        <v>4.0000000000000001E-3</v>
      </c>
      <c r="V76">
        <v>0.01</v>
      </c>
      <c r="W76">
        <v>4.0000000000000001E-3</v>
      </c>
      <c r="X76">
        <v>1E-3</v>
      </c>
      <c r="AA76">
        <v>1.2400000000000002</v>
      </c>
      <c r="AB76">
        <v>0.3</v>
      </c>
      <c r="AC76">
        <v>0.5</v>
      </c>
      <c r="AD76">
        <v>0.8</v>
      </c>
      <c r="AE76">
        <v>1</v>
      </c>
      <c r="AF76">
        <v>4</v>
      </c>
      <c r="AG76">
        <v>18</v>
      </c>
      <c r="AH76">
        <v>33</v>
      </c>
      <c r="AI76">
        <v>61</v>
      </c>
      <c r="AJ76">
        <v>272</v>
      </c>
      <c r="AM76" s="6">
        <v>45601</v>
      </c>
    </row>
    <row r="77" spans="1:39" x14ac:dyDescent="0.2">
      <c r="A77" t="s">
        <v>359</v>
      </c>
      <c r="B77" t="s">
        <v>457</v>
      </c>
      <c r="D77" t="s">
        <v>339</v>
      </c>
      <c r="E77" t="s">
        <v>339</v>
      </c>
      <c r="F77" t="s">
        <v>339</v>
      </c>
      <c r="G77">
        <v>0</v>
      </c>
      <c r="H77" t="s">
        <v>458</v>
      </c>
      <c r="I77">
        <v>31</v>
      </c>
      <c r="K77">
        <v>5</v>
      </c>
      <c r="L77">
        <v>11</v>
      </c>
      <c r="M77">
        <v>16</v>
      </c>
      <c r="N77">
        <v>8</v>
      </c>
      <c r="O77">
        <v>16</v>
      </c>
      <c r="P77">
        <v>2</v>
      </c>
      <c r="Q77">
        <v>0</v>
      </c>
      <c r="R77">
        <v>33</v>
      </c>
      <c r="S77">
        <v>0.05</v>
      </c>
      <c r="T77">
        <v>0.05</v>
      </c>
      <c r="U77">
        <v>0.02</v>
      </c>
      <c r="V77">
        <v>0.01</v>
      </c>
      <c r="W77">
        <v>0.02</v>
      </c>
      <c r="X77">
        <v>1E-3</v>
      </c>
      <c r="AB77">
        <v>0.67</v>
      </c>
      <c r="AC77">
        <v>1.55</v>
      </c>
      <c r="AD77">
        <v>1.93</v>
      </c>
      <c r="AE77">
        <v>2.78</v>
      </c>
      <c r="AF77">
        <v>15.5</v>
      </c>
      <c r="AG77">
        <v>52</v>
      </c>
      <c r="AH77">
        <v>88</v>
      </c>
      <c r="AI77">
        <v>130</v>
      </c>
      <c r="AM77" s="6">
        <v>45601</v>
      </c>
    </row>
    <row r="78" spans="1:39" x14ac:dyDescent="0.2">
      <c r="A78" t="s">
        <v>359</v>
      </c>
      <c r="B78" t="s">
        <v>459</v>
      </c>
      <c r="D78" t="s">
        <v>339</v>
      </c>
      <c r="E78" t="s">
        <v>339</v>
      </c>
      <c r="F78" t="s">
        <v>339</v>
      </c>
      <c r="G78">
        <v>0</v>
      </c>
      <c r="H78" t="s">
        <v>361</v>
      </c>
      <c r="I78">
        <v>100</v>
      </c>
      <c r="K78">
        <v>3</v>
      </c>
      <c r="M78">
        <v>3</v>
      </c>
      <c r="N78">
        <v>9</v>
      </c>
      <c r="O78">
        <v>40</v>
      </c>
      <c r="P78">
        <v>4</v>
      </c>
      <c r="Q78">
        <v>0</v>
      </c>
      <c r="R78">
        <v>34.68</v>
      </c>
      <c r="S78">
        <v>0.15</v>
      </c>
      <c r="T78">
        <v>0.05</v>
      </c>
      <c r="U78">
        <v>1.4999999999999999E-2</v>
      </c>
      <c r="V78">
        <v>0.01</v>
      </c>
      <c r="W78">
        <v>0.02</v>
      </c>
      <c r="X78">
        <v>1E-3</v>
      </c>
      <c r="AB78">
        <v>0.69</v>
      </c>
      <c r="AC78">
        <v>1.32</v>
      </c>
      <c r="AD78">
        <v>1.94</v>
      </c>
      <c r="AE78">
        <v>2.5099999999999998</v>
      </c>
      <c r="AF78">
        <v>10.7</v>
      </c>
      <c r="AG78">
        <v>43.9</v>
      </c>
      <c r="AH78">
        <v>77.59999999999998</v>
      </c>
      <c r="AI78">
        <v>131.4</v>
      </c>
      <c r="AM78" s="6">
        <v>45601</v>
      </c>
    </row>
    <row r="79" spans="1:39" x14ac:dyDescent="0.2">
      <c r="A79" t="s">
        <v>372</v>
      </c>
      <c r="B79" t="s">
        <v>460</v>
      </c>
      <c r="D79" t="s">
        <v>339</v>
      </c>
      <c r="G79">
        <v>0</v>
      </c>
      <c r="H79" t="s">
        <v>361</v>
      </c>
      <c r="I79">
        <v>100</v>
      </c>
      <c r="K79">
        <v>9</v>
      </c>
      <c r="M79">
        <v>9</v>
      </c>
      <c r="N79">
        <v>9</v>
      </c>
      <c r="O79">
        <v>41</v>
      </c>
      <c r="Q79">
        <v>0</v>
      </c>
      <c r="R79">
        <v>7.5999999999999988</v>
      </c>
      <c r="S79">
        <v>0.12</v>
      </c>
      <c r="T79">
        <v>0.04</v>
      </c>
      <c r="U79">
        <v>0.01</v>
      </c>
      <c r="V79">
        <v>0.01</v>
      </c>
      <c r="W79">
        <v>0.01</v>
      </c>
      <c r="X79">
        <v>1E-3</v>
      </c>
      <c r="AB79">
        <v>0.61174820232063198</v>
      </c>
      <c r="AC79">
        <v>1.2</v>
      </c>
      <c r="AD79">
        <v>1.8195130777537727</v>
      </c>
      <c r="AE79">
        <v>2.4706058112805342</v>
      </c>
      <c r="AF79">
        <v>11.619439350470945</v>
      </c>
      <c r="AG79">
        <v>49.426537586547006</v>
      </c>
      <c r="AH79">
        <v>87.256637989759597</v>
      </c>
      <c r="AI79">
        <v>146.04653725132084</v>
      </c>
      <c r="AM79" s="6">
        <v>45601</v>
      </c>
    </row>
    <row r="80" spans="1:39" x14ac:dyDescent="0.2">
      <c r="A80" t="s">
        <v>372</v>
      </c>
      <c r="B80" t="s">
        <v>461</v>
      </c>
      <c r="D80" t="s">
        <v>339</v>
      </c>
      <c r="G80">
        <v>0</v>
      </c>
      <c r="H80" t="s">
        <v>361</v>
      </c>
      <c r="I80">
        <v>100</v>
      </c>
      <c r="K80">
        <v>9</v>
      </c>
      <c r="M80">
        <v>9</v>
      </c>
      <c r="N80">
        <v>9</v>
      </c>
      <c r="O80">
        <v>36</v>
      </c>
      <c r="P80">
        <v>3</v>
      </c>
      <c r="Q80">
        <v>0</v>
      </c>
      <c r="R80">
        <v>6.4</v>
      </c>
      <c r="S80">
        <v>0.25</v>
      </c>
      <c r="T80">
        <v>0.06</v>
      </c>
      <c r="U80">
        <v>1.4999999999999999E-2</v>
      </c>
      <c r="V80">
        <v>0.02</v>
      </c>
      <c r="W80">
        <v>1.4999999999999999E-2</v>
      </c>
      <c r="X80">
        <v>0.01</v>
      </c>
      <c r="AA80" t="s">
        <v>375</v>
      </c>
      <c r="AB80">
        <v>0.54</v>
      </c>
      <c r="AC80">
        <v>1.3</v>
      </c>
      <c r="AD80">
        <v>1.8</v>
      </c>
      <c r="AE80">
        <v>2.6</v>
      </c>
      <c r="AF80">
        <v>11.5</v>
      </c>
      <c r="AG80">
        <v>50.8</v>
      </c>
      <c r="AH80">
        <v>90.9</v>
      </c>
      <c r="AI80">
        <v>155</v>
      </c>
      <c r="AM80" s="6">
        <v>45601</v>
      </c>
    </row>
    <row r="81" spans="1:39" x14ac:dyDescent="0.2">
      <c r="A81" t="s">
        <v>341</v>
      </c>
      <c r="B81" t="s">
        <v>462</v>
      </c>
      <c r="D81" t="s">
        <v>463</v>
      </c>
      <c r="F81" t="s">
        <v>339</v>
      </c>
      <c r="G81">
        <v>0</v>
      </c>
      <c r="H81" t="s">
        <v>464</v>
      </c>
      <c r="I81">
        <v>65</v>
      </c>
      <c r="K81">
        <v>10.5</v>
      </c>
      <c r="L81">
        <v>5.5</v>
      </c>
      <c r="M81">
        <v>16</v>
      </c>
      <c r="N81">
        <v>9</v>
      </c>
      <c r="O81">
        <v>22</v>
      </c>
      <c r="P81">
        <v>4</v>
      </c>
      <c r="Q81">
        <v>0</v>
      </c>
      <c r="S81">
        <v>0.1</v>
      </c>
      <c r="T81">
        <v>0.05</v>
      </c>
      <c r="U81">
        <v>2.5000000000000001E-2</v>
      </c>
      <c r="V81">
        <v>2.5000000000000001E-2</v>
      </c>
      <c r="W81">
        <v>0.01</v>
      </c>
      <c r="X81">
        <v>2.5000000000000001E-3</v>
      </c>
      <c r="AB81">
        <v>0.7</v>
      </c>
      <c r="AC81">
        <v>1.3</v>
      </c>
      <c r="AD81">
        <v>2</v>
      </c>
      <c r="AE81">
        <v>2.6</v>
      </c>
      <c r="AF81">
        <v>11</v>
      </c>
      <c r="AG81">
        <v>46</v>
      </c>
      <c r="AH81">
        <v>83</v>
      </c>
      <c r="AI81">
        <v>141</v>
      </c>
      <c r="AM81" s="6">
        <v>45601</v>
      </c>
    </row>
    <row r="82" spans="1:39" x14ac:dyDescent="0.2">
      <c r="A82" t="s">
        <v>372</v>
      </c>
      <c r="B82" t="s">
        <v>465</v>
      </c>
      <c r="D82" t="s">
        <v>339</v>
      </c>
      <c r="G82">
        <v>0</v>
      </c>
      <c r="H82" t="s">
        <v>454</v>
      </c>
      <c r="I82">
        <v>60</v>
      </c>
      <c r="K82">
        <v>12.1</v>
      </c>
      <c r="L82">
        <v>7.9</v>
      </c>
      <c r="M82">
        <v>20</v>
      </c>
      <c r="N82">
        <v>9</v>
      </c>
      <c r="O82">
        <v>20</v>
      </c>
      <c r="Q82">
        <v>0</v>
      </c>
      <c r="R82">
        <v>1.9</v>
      </c>
      <c r="S82">
        <v>0.12</v>
      </c>
      <c r="T82">
        <v>0.06</v>
      </c>
      <c r="U82">
        <v>1.4999999999999999E-2</v>
      </c>
      <c r="W82">
        <v>1.4999999999999999E-2</v>
      </c>
      <c r="X82">
        <v>0.01</v>
      </c>
      <c r="AA82" t="s">
        <v>375</v>
      </c>
      <c r="AB82">
        <v>0.6141732283464566</v>
      </c>
      <c r="AC82">
        <v>1.2</v>
      </c>
      <c r="AD82">
        <v>1.7669291338582676</v>
      </c>
      <c r="AE82">
        <v>2.4566929133858264</v>
      </c>
      <c r="AF82">
        <v>10.866141732283465</v>
      </c>
      <c r="AG82">
        <v>48</v>
      </c>
      <c r="AH82">
        <v>85.889763779527556</v>
      </c>
      <c r="AI82">
        <v>146.45669291338587</v>
      </c>
      <c r="AM82" s="6">
        <v>45601</v>
      </c>
    </row>
    <row r="83" spans="1:39" x14ac:dyDescent="0.2">
      <c r="A83" t="s">
        <v>337</v>
      </c>
      <c r="B83" t="s">
        <v>466</v>
      </c>
      <c r="D83" t="s">
        <v>339</v>
      </c>
      <c r="E83" t="s">
        <v>339</v>
      </c>
      <c r="F83" t="s">
        <v>339</v>
      </c>
      <c r="G83">
        <v>0</v>
      </c>
      <c r="H83" t="s">
        <v>467</v>
      </c>
      <c r="I83">
        <v>84</v>
      </c>
      <c r="K83">
        <v>10.1</v>
      </c>
      <c r="L83">
        <v>1.9</v>
      </c>
      <c r="M83">
        <v>12</v>
      </c>
      <c r="N83">
        <v>10</v>
      </c>
      <c r="O83">
        <v>36</v>
      </c>
      <c r="P83">
        <v>2</v>
      </c>
      <c r="Q83">
        <v>0</v>
      </c>
      <c r="R83">
        <v>6</v>
      </c>
      <c r="S83">
        <v>7.0000000000000007E-2</v>
      </c>
      <c r="T83">
        <v>0.05</v>
      </c>
      <c r="U83">
        <v>0.01</v>
      </c>
      <c r="V83">
        <v>0.03</v>
      </c>
      <c r="W83">
        <v>0.01</v>
      </c>
      <c r="X83">
        <v>1E-3</v>
      </c>
      <c r="Y83">
        <v>0</v>
      </c>
      <c r="AA83">
        <v>0</v>
      </c>
      <c r="AB83">
        <v>0.6</v>
      </c>
      <c r="AC83">
        <v>1.3</v>
      </c>
      <c r="AD83">
        <v>1.9</v>
      </c>
      <c r="AE83">
        <v>2.5</v>
      </c>
      <c r="AH83">
        <v>87</v>
      </c>
      <c r="AJ83">
        <v>0</v>
      </c>
      <c r="AM83" s="6">
        <v>45601</v>
      </c>
    </row>
    <row r="84" spans="1:39" x14ac:dyDescent="0.2">
      <c r="A84" t="s">
        <v>372</v>
      </c>
      <c r="B84" t="s">
        <v>468</v>
      </c>
      <c r="D84" t="s">
        <v>339</v>
      </c>
      <c r="G84">
        <v>0</v>
      </c>
      <c r="H84" t="s">
        <v>361</v>
      </c>
      <c r="I84">
        <v>100</v>
      </c>
      <c r="K84">
        <v>5</v>
      </c>
      <c r="M84">
        <v>5</v>
      </c>
      <c r="N84">
        <v>10</v>
      </c>
      <c r="O84">
        <v>36</v>
      </c>
      <c r="P84">
        <v>5</v>
      </c>
      <c r="Q84">
        <v>0</v>
      </c>
      <c r="R84">
        <v>18.8</v>
      </c>
      <c r="S84">
        <v>0.12</v>
      </c>
      <c r="T84">
        <v>0.08</v>
      </c>
      <c r="U84">
        <v>0.02</v>
      </c>
      <c r="V84">
        <v>0.02</v>
      </c>
      <c r="W84">
        <v>0.02</v>
      </c>
      <c r="X84">
        <v>2E-3</v>
      </c>
      <c r="AA84" t="s">
        <v>375</v>
      </c>
      <c r="AB84">
        <v>0.66272721918068467</v>
      </c>
      <c r="AC84">
        <v>1.3</v>
      </c>
      <c r="AD84">
        <v>1.9711391675665881</v>
      </c>
      <c r="AE84">
        <v>2.6764896288872446</v>
      </c>
      <c r="AF84">
        <v>12.58772596301019</v>
      </c>
      <c r="AG84">
        <v>53.545415718759273</v>
      </c>
      <c r="AH84">
        <v>94.528024488906226</v>
      </c>
      <c r="AI84">
        <v>158.21708202226426</v>
      </c>
      <c r="AM84" s="6">
        <v>45601</v>
      </c>
    </row>
    <row r="85" spans="1:39" x14ac:dyDescent="0.2">
      <c r="A85" t="s">
        <v>337</v>
      </c>
      <c r="B85" t="s">
        <v>469</v>
      </c>
      <c r="D85" t="s">
        <v>339</v>
      </c>
      <c r="E85" t="s">
        <v>339</v>
      </c>
      <c r="G85">
        <v>0</v>
      </c>
      <c r="H85" t="s">
        <v>470</v>
      </c>
      <c r="I85">
        <v>82</v>
      </c>
      <c r="K85">
        <v>9.5</v>
      </c>
      <c r="L85">
        <v>2</v>
      </c>
      <c r="M85">
        <v>11.5</v>
      </c>
      <c r="N85">
        <v>10</v>
      </c>
      <c r="O85">
        <v>35</v>
      </c>
      <c r="P85">
        <v>2</v>
      </c>
      <c r="Q85">
        <v>0</v>
      </c>
      <c r="R85">
        <v>7.2</v>
      </c>
      <c r="S85">
        <v>0.01</v>
      </c>
      <c r="T85">
        <v>0.05</v>
      </c>
      <c r="U85">
        <v>0.01</v>
      </c>
      <c r="V85">
        <v>0.02</v>
      </c>
      <c r="W85">
        <v>0.04</v>
      </c>
      <c r="X85">
        <v>2E-3</v>
      </c>
      <c r="Y85">
        <v>0</v>
      </c>
      <c r="AA85">
        <v>0</v>
      </c>
      <c r="AB85">
        <v>0.7</v>
      </c>
      <c r="AC85">
        <v>1.3</v>
      </c>
      <c r="AD85">
        <v>1.9</v>
      </c>
      <c r="AE85">
        <v>2.5</v>
      </c>
      <c r="AF85">
        <v>11</v>
      </c>
      <c r="AG85">
        <v>47</v>
      </c>
      <c r="AH85">
        <v>74</v>
      </c>
      <c r="AI85">
        <v>143</v>
      </c>
      <c r="AJ85">
        <v>0</v>
      </c>
      <c r="AM85" s="6">
        <v>45601</v>
      </c>
    </row>
    <row r="86" spans="1:39" x14ac:dyDescent="0.2">
      <c r="A86" t="s">
        <v>372</v>
      </c>
      <c r="B86" t="s">
        <v>471</v>
      </c>
      <c r="D86" t="s">
        <v>339</v>
      </c>
      <c r="G86">
        <v>0</v>
      </c>
      <c r="H86" t="s">
        <v>389</v>
      </c>
      <c r="I86">
        <v>68</v>
      </c>
      <c r="K86">
        <v>6.8</v>
      </c>
      <c r="L86">
        <v>3.2</v>
      </c>
      <c r="M86">
        <v>10</v>
      </c>
      <c r="N86">
        <v>10</v>
      </c>
      <c r="O86">
        <v>30</v>
      </c>
      <c r="P86">
        <v>3.3</v>
      </c>
      <c r="Q86">
        <v>0</v>
      </c>
      <c r="R86">
        <v>15.5</v>
      </c>
      <c r="S86">
        <v>0.1</v>
      </c>
      <c r="T86">
        <v>0.04</v>
      </c>
      <c r="U86">
        <v>0.01</v>
      </c>
      <c r="V86">
        <v>0.01</v>
      </c>
      <c r="W86">
        <v>0.01</v>
      </c>
      <c r="X86">
        <v>1E-3</v>
      </c>
      <c r="AA86" t="s">
        <v>375</v>
      </c>
      <c r="AB86">
        <v>0.66272721918068467</v>
      </c>
      <c r="AC86">
        <v>1.3</v>
      </c>
      <c r="AD86">
        <v>1.9711391675665881</v>
      </c>
      <c r="AE86">
        <v>2.6764896288872446</v>
      </c>
      <c r="AF86">
        <v>12.58772596301019</v>
      </c>
      <c r="AG86">
        <v>53.545415718759273</v>
      </c>
      <c r="AH86">
        <v>94.528024488906226</v>
      </c>
      <c r="AI86">
        <v>158.21708202226426</v>
      </c>
      <c r="AM86" s="6">
        <v>45601</v>
      </c>
    </row>
    <row r="87" spans="1:39" x14ac:dyDescent="0.2">
      <c r="A87" t="s">
        <v>372</v>
      </c>
      <c r="B87" t="s">
        <v>472</v>
      </c>
      <c r="D87" t="s">
        <v>339</v>
      </c>
      <c r="G87">
        <v>3.9</v>
      </c>
      <c r="H87" t="s">
        <v>473</v>
      </c>
      <c r="I87">
        <v>76</v>
      </c>
      <c r="K87">
        <v>5.4</v>
      </c>
      <c r="L87">
        <v>1.7</v>
      </c>
      <c r="M87">
        <v>11</v>
      </c>
      <c r="N87">
        <v>10</v>
      </c>
      <c r="O87">
        <v>28</v>
      </c>
      <c r="P87">
        <v>2</v>
      </c>
      <c r="Q87">
        <v>0</v>
      </c>
      <c r="R87">
        <v>17.2</v>
      </c>
      <c r="S87">
        <v>0.32</v>
      </c>
      <c r="T87">
        <v>0.04</v>
      </c>
      <c r="U87">
        <v>0.01</v>
      </c>
      <c r="V87">
        <v>0.01</v>
      </c>
      <c r="W87">
        <v>0.01</v>
      </c>
      <c r="X87">
        <v>1E-3</v>
      </c>
      <c r="AA87" t="s">
        <v>375</v>
      </c>
      <c r="AB87">
        <v>0.61174820232063198</v>
      </c>
      <c r="AC87">
        <v>1.2</v>
      </c>
      <c r="AD87">
        <v>1.8195130777537727</v>
      </c>
      <c r="AE87">
        <v>2.4706058112805342</v>
      </c>
      <c r="AF87">
        <v>11.619439350470945</v>
      </c>
      <c r="AG87">
        <v>49.426537586547006</v>
      </c>
      <c r="AH87">
        <v>87.256637989759597</v>
      </c>
      <c r="AI87">
        <v>146.04653725132084</v>
      </c>
      <c r="AM87" s="6">
        <v>45601</v>
      </c>
    </row>
    <row r="88" spans="1:39" x14ac:dyDescent="0.2">
      <c r="A88" t="s">
        <v>372</v>
      </c>
      <c r="B88" t="s">
        <v>474</v>
      </c>
      <c r="D88" t="s">
        <v>339</v>
      </c>
      <c r="G88">
        <v>3.7</v>
      </c>
      <c r="H88" t="s">
        <v>374</v>
      </c>
      <c r="I88">
        <v>90</v>
      </c>
      <c r="K88">
        <v>9.3000000000000007</v>
      </c>
      <c r="L88">
        <v>1</v>
      </c>
      <c r="M88">
        <v>14</v>
      </c>
      <c r="N88">
        <v>10</v>
      </c>
      <c r="O88">
        <v>26</v>
      </c>
      <c r="P88">
        <v>2</v>
      </c>
      <c r="Q88">
        <v>0</v>
      </c>
      <c r="S88">
        <v>0.12</v>
      </c>
      <c r="T88">
        <v>0.06</v>
      </c>
      <c r="U88">
        <v>1.4999999999999999E-2</v>
      </c>
      <c r="V88">
        <v>0.02</v>
      </c>
      <c r="W88">
        <v>1.4999999999999999E-2</v>
      </c>
      <c r="X88">
        <v>0.01</v>
      </c>
      <c r="AA88" t="s">
        <v>375</v>
      </c>
      <c r="AB88">
        <v>0.5</v>
      </c>
      <c r="AC88">
        <v>0.95</v>
      </c>
      <c r="AD88">
        <v>1.41</v>
      </c>
      <c r="AE88">
        <v>1.95</v>
      </c>
      <c r="AF88">
        <v>11.1</v>
      </c>
      <c r="AG88">
        <v>38</v>
      </c>
      <c r="AH88">
        <v>66.599999999999994</v>
      </c>
      <c r="AI88">
        <v>110</v>
      </c>
      <c r="AM88" s="6">
        <v>45601</v>
      </c>
    </row>
    <row r="89" spans="1:39" x14ac:dyDescent="0.2">
      <c r="A89" t="s">
        <v>372</v>
      </c>
      <c r="B89" t="s">
        <v>475</v>
      </c>
      <c r="D89" t="s">
        <v>339</v>
      </c>
      <c r="G89">
        <v>0</v>
      </c>
      <c r="H89" t="s">
        <v>476</v>
      </c>
      <c r="I89">
        <v>45</v>
      </c>
      <c r="K89">
        <v>3.6</v>
      </c>
      <c r="L89">
        <v>4.4000000000000004</v>
      </c>
      <c r="M89">
        <v>8</v>
      </c>
      <c r="N89">
        <v>10</v>
      </c>
      <c r="O89">
        <v>26</v>
      </c>
      <c r="P89">
        <v>4</v>
      </c>
      <c r="Q89">
        <v>0</v>
      </c>
      <c r="S89">
        <v>0.06</v>
      </c>
      <c r="T89">
        <v>0.04</v>
      </c>
      <c r="U89">
        <v>0.01</v>
      </c>
      <c r="V89">
        <v>0.01</v>
      </c>
      <c r="W89">
        <v>0.01</v>
      </c>
      <c r="X89">
        <v>1E-3</v>
      </c>
      <c r="AA89" t="s">
        <v>375</v>
      </c>
      <c r="AB89">
        <v>0.71370623604073724</v>
      </c>
      <c r="AC89">
        <v>1.4</v>
      </c>
      <c r="AD89">
        <v>2.122765257379402</v>
      </c>
      <c r="AE89">
        <v>2.8823734464939572</v>
      </c>
      <c r="AF89">
        <v>13.556012575549431</v>
      </c>
      <c r="AG89">
        <v>57.664293850971504</v>
      </c>
      <c r="AH89">
        <v>101.79941098805281</v>
      </c>
      <c r="AI89">
        <v>170.38762679320766</v>
      </c>
      <c r="AM89" s="6">
        <v>45601</v>
      </c>
    </row>
    <row r="90" spans="1:39" x14ac:dyDescent="0.2">
      <c r="A90" t="s">
        <v>337</v>
      </c>
      <c r="B90" t="s">
        <v>477</v>
      </c>
      <c r="D90" t="s">
        <v>339</v>
      </c>
      <c r="E90" t="s">
        <v>339</v>
      </c>
      <c r="F90" t="s">
        <v>339</v>
      </c>
      <c r="G90">
        <v>0</v>
      </c>
      <c r="H90" t="s">
        <v>369</v>
      </c>
      <c r="I90">
        <v>70</v>
      </c>
      <c r="K90">
        <v>11.2</v>
      </c>
      <c r="L90">
        <v>4.8</v>
      </c>
      <c r="M90">
        <v>16</v>
      </c>
      <c r="N90">
        <v>10</v>
      </c>
      <c r="O90">
        <v>25</v>
      </c>
      <c r="P90">
        <v>2</v>
      </c>
      <c r="Q90">
        <v>0</v>
      </c>
      <c r="R90">
        <v>4.5</v>
      </c>
      <c r="S90">
        <v>0.1</v>
      </c>
      <c r="T90">
        <v>0.05</v>
      </c>
      <c r="U90">
        <v>0.02</v>
      </c>
      <c r="V90">
        <v>0.02</v>
      </c>
      <c r="W90">
        <v>0.05</v>
      </c>
      <c r="X90">
        <v>1E-3</v>
      </c>
      <c r="Y90">
        <v>0</v>
      </c>
      <c r="AA90">
        <v>0</v>
      </c>
      <c r="AB90">
        <v>0.7</v>
      </c>
      <c r="AC90">
        <v>1.4</v>
      </c>
      <c r="AD90">
        <v>2</v>
      </c>
      <c r="AE90">
        <v>2.7</v>
      </c>
      <c r="AG90">
        <v>48</v>
      </c>
      <c r="AH90">
        <v>85</v>
      </c>
      <c r="AI90">
        <v>143</v>
      </c>
      <c r="AJ90">
        <v>0</v>
      </c>
      <c r="AM90" s="6">
        <v>45601</v>
      </c>
    </row>
    <row r="91" spans="1:39" x14ac:dyDescent="0.2">
      <c r="A91" t="s">
        <v>372</v>
      </c>
      <c r="B91" t="s">
        <v>478</v>
      </c>
      <c r="D91" t="s">
        <v>339</v>
      </c>
      <c r="G91">
        <v>0</v>
      </c>
      <c r="H91" t="s">
        <v>454</v>
      </c>
      <c r="I91">
        <v>60</v>
      </c>
      <c r="K91">
        <v>12.1</v>
      </c>
      <c r="L91">
        <v>7.9</v>
      </c>
      <c r="M91">
        <v>20</v>
      </c>
      <c r="N91">
        <v>10</v>
      </c>
      <c r="O91">
        <v>20</v>
      </c>
      <c r="Q91">
        <v>0</v>
      </c>
      <c r="R91">
        <v>1.7</v>
      </c>
      <c r="S91">
        <v>0.12</v>
      </c>
      <c r="T91">
        <v>0.06</v>
      </c>
      <c r="U91">
        <v>1.4999999999999999E-2</v>
      </c>
      <c r="V91">
        <v>0.02</v>
      </c>
      <c r="W91">
        <v>1.4999999999999999E-2</v>
      </c>
      <c r="X91">
        <v>0.01</v>
      </c>
      <c r="AA91" t="s">
        <v>375</v>
      </c>
      <c r="AB91">
        <v>0.6174757281553398</v>
      </c>
      <c r="AC91">
        <v>1.2</v>
      </c>
      <c r="AD91">
        <v>1.770873786407767</v>
      </c>
      <c r="AE91">
        <v>2.4582524271844641</v>
      </c>
      <c r="AF91">
        <v>11.067961165048544</v>
      </c>
      <c r="AG91">
        <v>49.04854368932039</v>
      </c>
      <c r="AH91">
        <v>87.495145631067956</v>
      </c>
      <c r="AI91">
        <v>147.96116504854368</v>
      </c>
      <c r="AM91" s="6">
        <v>45601</v>
      </c>
    </row>
    <row r="92" spans="1:39" x14ac:dyDescent="0.2">
      <c r="A92" t="s">
        <v>337</v>
      </c>
      <c r="B92" t="s">
        <v>479</v>
      </c>
      <c r="D92" t="s">
        <v>339</v>
      </c>
      <c r="E92" t="s">
        <v>339</v>
      </c>
      <c r="F92" t="s">
        <v>339</v>
      </c>
      <c r="G92">
        <v>0</v>
      </c>
      <c r="H92" t="s">
        <v>421</v>
      </c>
      <c r="I92">
        <v>62</v>
      </c>
      <c r="K92">
        <v>11.8</v>
      </c>
      <c r="L92">
        <v>7.2</v>
      </c>
      <c r="M92">
        <v>19</v>
      </c>
      <c r="N92">
        <v>10</v>
      </c>
      <c r="O92">
        <v>19</v>
      </c>
      <c r="P92">
        <v>2</v>
      </c>
      <c r="Q92">
        <v>0</v>
      </c>
      <c r="R92">
        <v>4.2</v>
      </c>
      <c r="S92">
        <v>0.1</v>
      </c>
      <c r="T92">
        <v>0.05</v>
      </c>
      <c r="U92">
        <v>0.02</v>
      </c>
      <c r="V92">
        <v>0.02</v>
      </c>
      <c r="W92">
        <v>0.05</v>
      </c>
      <c r="X92">
        <v>1E-3</v>
      </c>
      <c r="Y92">
        <v>0</v>
      </c>
      <c r="AA92">
        <v>0</v>
      </c>
      <c r="AB92">
        <v>0.8</v>
      </c>
      <c r="AC92">
        <v>1.5</v>
      </c>
      <c r="AD92">
        <v>2.2000000000000002</v>
      </c>
      <c r="AE92">
        <v>2.9</v>
      </c>
      <c r="AG92">
        <v>53</v>
      </c>
      <c r="AH92">
        <v>94</v>
      </c>
      <c r="AI92">
        <v>160</v>
      </c>
      <c r="AJ92">
        <v>0</v>
      </c>
      <c r="AM92" s="6">
        <v>45601</v>
      </c>
    </row>
    <row r="93" spans="1:39" x14ac:dyDescent="0.2">
      <c r="A93" t="s">
        <v>359</v>
      </c>
      <c r="B93" t="s">
        <v>480</v>
      </c>
      <c r="D93" t="s">
        <v>339</v>
      </c>
      <c r="E93" t="s">
        <v>339</v>
      </c>
      <c r="F93" t="s">
        <v>339</v>
      </c>
      <c r="G93">
        <v>0</v>
      </c>
      <c r="H93" t="s">
        <v>481</v>
      </c>
      <c r="I93">
        <v>26</v>
      </c>
      <c r="K93">
        <v>4</v>
      </c>
      <c r="L93">
        <v>11</v>
      </c>
      <c r="M93">
        <v>15</v>
      </c>
      <c r="N93">
        <v>10</v>
      </c>
      <c r="O93">
        <v>15</v>
      </c>
      <c r="P93">
        <v>2</v>
      </c>
      <c r="Q93">
        <v>0</v>
      </c>
      <c r="R93">
        <v>36</v>
      </c>
      <c r="S93">
        <v>0.05</v>
      </c>
      <c r="T93">
        <v>0.05</v>
      </c>
      <c r="U93">
        <v>0.02</v>
      </c>
      <c r="V93">
        <v>0.01</v>
      </c>
      <c r="W93">
        <v>0.02</v>
      </c>
      <c r="X93">
        <v>1E-3</v>
      </c>
      <c r="AB93">
        <v>0.8</v>
      </c>
      <c r="AC93">
        <v>1.51</v>
      </c>
      <c r="AD93">
        <v>2.23</v>
      </c>
      <c r="AE93">
        <v>3.7</v>
      </c>
      <c r="AF93">
        <v>16.100000000000001</v>
      </c>
      <c r="AG93">
        <v>48.9</v>
      </c>
      <c r="AH93">
        <v>88.59999999999998</v>
      </c>
      <c r="AI93">
        <v>150.9</v>
      </c>
      <c r="AM93" s="6">
        <v>45601</v>
      </c>
    </row>
    <row r="94" spans="1:39" x14ac:dyDescent="0.2">
      <c r="A94" t="s">
        <v>372</v>
      </c>
      <c r="B94" t="s">
        <v>482</v>
      </c>
      <c r="D94" t="s">
        <v>339</v>
      </c>
      <c r="G94">
        <v>4.0999999999999996</v>
      </c>
      <c r="H94" t="s">
        <v>483</v>
      </c>
      <c r="I94">
        <v>74</v>
      </c>
      <c r="K94">
        <v>10.3</v>
      </c>
      <c r="L94">
        <v>3.6</v>
      </c>
      <c r="M94">
        <v>18</v>
      </c>
      <c r="N94">
        <v>10</v>
      </c>
      <c r="O94">
        <v>18</v>
      </c>
      <c r="P94">
        <v>2</v>
      </c>
      <c r="Q94">
        <v>0</v>
      </c>
      <c r="S94">
        <v>0.12</v>
      </c>
      <c r="T94">
        <v>0.06</v>
      </c>
      <c r="U94">
        <v>1.4999999999999999E-2</v>
      </c>
      <c r="V94">
        <v>0.02</v>
      </c>
      <c r="W94">
        <v>1.4999999999999999E-2</v>
      </c>
      <c r="X94">
        <v>0.01</v>
      </c>
      <c r="AA94" t="s">
        <v>375</v>
      </c>
      <c r="AB94">
        <v>0.5</v>
      </c>
      <c r="AC94">
        <v>0.98</v>
      </c>
      <c r="AD94">
        <v>1.45</v>
      </c>
      <c r="AE94">
        <v>2.17</v>
      </c>
      <c r="AF94">
        <v>11.7</v>
      </c>
      <c r="AG94">
        <v>40.299999999999997</v>
      </c>
      <c r="AH94">
        <v>70.90000000000002</v>
      </c>
      <c r="AI94">
        <v>118</v>
      </c>
      <c r="AM94" s="6">
        <v>45601</v>
      </c>
    </row>
    <row r="95" spans="1:39" x14ac:dyDescent="0.2">
      <c r="A95" t="s">
        <v>337</v>
      </c>
      <c r="B95" t="s">
        <v>484</v>
      </c>
      <c r="D95" t="s">
        <v>339</v>
      </c>
      <c r="E95" t="s">
        <v>339</v>
      </c>
      <c r="F95" t="s">
        <v>339</v>
      </c>
      <c r="G95">
        <v>0</v>
      </c>
      <c r="H95" t="s">
        <v>485</v>
      </c>
      <c r="I95">
        <v>78</v>
      </c>
      <c r="K95">
        <v>11.8</v>
      </c>
      <c r="L95">
        <v>3.2</v>
      </c>
      <c r="M95">
        <v>15</v>
      </c>
      <c r="N95">
        <v>10</v>
      </c>
      <c r="O95">
        <v>15</v>
      </c>
      <c r="P95">
        <v>2</v>
      </c>
      <c r="Q95">
        <v>8</v>
      </c>
      <c r="R95">
        <v>0</v>
      </c>
      <c r="S95">
        <v>0.1</v>
      </c>
      <c r="T95">
        <v>0.05</v>
      </c>
      <c r="U95">
        <v>0.02</v>
      </c>
      <c r="V95">
        <v>0.02</v>
      </c>
      <c r="W95">
        <v>0.05</v>
      </c>
      <c r="X95">
        <v>1E-3</v>
      </c>
      <c r="Y95">
        <v>0</v>
      </c>
      <c r="AA95">
        <v>0</v>
      </c>
      <c r="AB95">
        <v>0.7</v>
      </c>
      <c r="AC95">
        <v>1.3</v>
      </c>
      <c r="AD95">
        <v>1.9</v>
      </c>
      <c r="AE95">
        <v>2.5</v>
      </c>
      <c r="AG95">
        <v>44</v>
      </c>
      <c r="AH95">
        <v>77</v>
      </c>
      <c r="AI95">
        <v>125</v>
      </c>
      <c r="AJ95">
        <v>0</v>
      </c>
      <c r="AM95" s="6">
        <v>45601</v>
      </c>
    </row>
    <row r="96" spans="1:39" x14ac:dyDescent="0.2">
      <c r="A96" t="s">
        <v>337</v>
      </c>
      <c r="B96" t="s">
        <v>486</v>
      </c>
      <c r="D96" t="s">
        <v>339</v>
      </c>
      <c r="E96" t="s">
        <v>339</v>
      </c>
      <c r="F96" t="s">
        <v>339</v>
      </c>
      <c r="G96">
        <v>0</v>
      </c>
      <c r="H96" t="s">
        <v>487</v>
      </c>
      <c r="I96">
        <v>30</v>
      </c>
      <c r="K96">
        <v>4.5</v>
      </c>
      <c r="L96">
        <v>10.5</v>
      </c>
      <c r="M96">
        <v>15</v>
      </c>
      <c r="N96">
        <v>10</v>
      </c>
      <c r="O96">
        <v>15</v>
      </c>
      <c r="P96">
        <v>2</v>
      </c>
      <c r="Q96">
        <v>0</v>
      </c>
      <c r="R96">
        <v>34.799999999999997</v>
      </c>
      <c r="S96">
        <v>7.4999999999999983E-2</v>
      </c>
      <c r="T96">
        <v>0.05</v>
      </c>
      <c r="U96">
        <v>0.01</v>
      </c>
      <c r="V96">
        <v>0.02</v>
      </c>
      <c r="W96">
        <v>0.03</v>
      </c>
      <c r="X96">
        <v>1E-3</v>
      </c>
      <c r="Y96">
        <v>0</v>
      </c>
      <c r="AA96">
        <v>0</v>
      </c>
      <c r="AB96">
        <v>0.8</v>
      </c>
      <c r="AC96">
        <v>1.5</v>
      </c>
      <c r="AD96">
        <v>2.2000000000000002</v>
      </c>
      <c r="AE96">
        <v>2.9</v>
      </c>
      <c r="AF96">
        <v>12</v>
      </c>
      <c r="AG96">
        <v>52</v>
      </c>
      <c r="AH96">
        <v>90</v>
      </c>
      <c r="AI96">
        <v>153</v>
      </c>
      <c r="AJ96">
        <v>0</v>
      </c>
      <c r="AM96" s="6">
        <v>45601</v>
      </c>
    </row>
    <row r="97" spans="1:39" x14ac:dyDescent="0.2">
      <c r="A97" t="s">
        <v>341</v>
      </c>
      <c r="B97" t="s">
        <v>488</v>
      </c>
      <c r="D97" t="s">
        <v>339</v>
      </c>
      <c r="F97" t="s">
        <v>339</v>
      </c>
      <c r="G97">
        <v>0</v>
      </c>
      <c r="H97" t="s">
        <v>487</v>
      </c>
      <c r="I97">
        <v>30</v>
      </c>
      <c r="K97">
        <v>4.5</v>
      </c>
      <c r="L97">
        <v>10.5</v>
      </c>
      <c r="M97">
        <v>15</v>
      </c>
      <c r="N97">
        <v>10</v>
      </c>
      <c r="O97">
        <v>15</v>
      </c>
      <c r="P97">
        <v>2</v>
      </c>
      <c r="Q97">
        <v>0</v>
      </c>
      <c r="S97">
        <v>0.1</v>
      </c>
      <c r="T97">
        <v>0.05</v>
      </c>
      <c r="U97">
        <v>2.5000000000000001E-2</v>
      </c>
      <c r="V97">
        <v>2.5000000000000001E-2</v>
      </c>
      <c r="W97">
        <v>0.01</v>
      </c>
      <c r="X97">
        <v>2.5000000000000001E-3</v>
      </c>
      <c r="AB97">
        <v>0.8</v>
      </c>
      <c r="AC97">
        <v>1.5</v>
      </c>
      <c r="AD97">
        <v>2.1</v>
      </c>
      <c r="AE97">
        <v>2.8</v>
      </c>
      <c r="AF97">
        <v>12</v>
      </c>
      <c r="AG97">
        <v>48</v>
      </c>
      <c r="AH97">
        <v>86</v>
      </c>
      <c r="AI97">
        <v>146</v>
      </c>
      <c r="AM97" s="6">
        <v>45601</v>
      </c>
    </row>
    <row r="98" spans="1:39" x14ac:dyDescent="0.2">
      <c r="A98" t="s">
        <v>337</v>
      </c>
      <c r="B98" t="s">
        <v>489</v>
      </c>
      <c r="D98" t="s">
        <v>339</v>
      </c>
      <c r="E98" t="s">
        <v>339</v>
      </c>
      <c r="F98" t="s">
        <v>339</v>
      </c>
      <c r="G98">
        <v>0</v>
      </c>
      <c r="H98" t="s">
        <v>490</v>
      </c>
      <c r="I98">
        <v>17</v>
      </c>
      <c r="K98">
        <v>2.5</v>
      </c>
      <c r="L98">
        <v>11.5</v>
      </c>
      <c r="M98">
        <v>14</v>
      </c>
      <c r="N98">
        <v>10</v>
      </c>
      <c r="O98">
        <v>14</v>
      </c>
      <c r="P98">
        <v>2</v>
      </c>
      <c r="Q98">
        <v>0</v>
      </c>
      <c r="R98">
        <v>45</v>
      </c>
      <c r="S98">
        <v>7.0000000000000007E-2</v>
      </c>
      <c r="T98">
        <v>0.05</v>
      </c>
      <c r="U98">
        <v>0.01</v>
      </c>
      <c r="V98">
        <v>0.03</v>
      </c>
      <c r="W98">
        <v>0.01</v>
      </c>
      <c r="X98">
        <v>1E-3</v>
      </c>
      <c r="Y98">
        <v>0</v>
      </c>
      <c r="AA98">
        <v>0</v>
      </c>
      <c r="AB98">
        <v>0.8</v>
      </c>
      <c r="AC98">
        <v>1.6</v>
      </c>
      <c r="AD98">
        <v>2.2999999999999998</v>
      </c>
      <c r="AE98">
        <v>3</v>
      </c>
      <c r="AH98">
        <v>89</v>
      </c>
      <c r="AJ98">
        <v>0</v>
      </c>
      <c r="AM98" s="6">
        <v>45601</v>
      </c>
    </row>
    <row r="99" spans="1:39" x14ac:dyDescent="0.2">
      <c r="A99" t="s">
        <v>398</v>
      </c>
      <c r="B99" t="s">
        <v>491</v>
      </c>
      <c r="D99" t="s">
        <v>339</v>
      </c>
      <c r="F99" t="s">
        <v>339</v>
      </c>
      <c r="G99">
        <v>0</v>
      </c>
      <c r="H99" t="s">
        <v>492</v>
      </c>
      <c r="I99">
        <v>27</v>
      </c>
      <c r="K99">
        <v>3.8</v>
      </c>
      <c r="L99">
        <v>10.199999999999999</v>
      </c>
      <c r="M99">
        <v>14</v>
      </c>
      <c r="N99">
        <v>10</v>
      </c>
      <c r="O99">
        <v>14</v>
      </c>
      <c r="P99">
        <v>2</v>
      </c>
      <c r="Q99">
        <v>0</v>
      </c>
      <c r="AB99">
        <v>0.8</v>
      </c>
      <c r="AC99">
        <v>1.4</v>
      </c>
      <c r="AD99">
        <v>2.1</v>
      </c>
      <c r="AE99">
        <v>2.7</v>
      </c>
      <c r="AF99">
        <v>9</v>
      </c>
      <c r="AG99">
        <v>46</v>
      </c>
      <c r="AH99">
        <v>85</v>
      </c>
      <c r="AI99">
        <v>150</v>
      </c>
      <c r="AM99" s="6">
        <v>45601</v>
      </c>
    </row>
    <row r="100" spans="1:39" x14ac:dyDescent="0.2">
      <c r="A100" t="s">
        <v>337</v>
      </c>
      <c r="B100" t="s">
        <v>493</v>
      </c>
      <c r="D100" t="s">
        <v>339</v>
      </c>
      <c r="E100" t="s">
        <v>339</v>
      </c>
      <c r="G100">
        <v>26</v>
      </c>
      <c r="H100" t="s">
        <v>494</v>
      </c>
      <c r="I100">
        <v>25</v>
      </c>
      <c r="K100">
        <v>1</v>
      </c>
      <c r="L100">
        <v>3</v>
      </c>
      <c r="M100">
        <v>30</v>
      </c>
      <c r="N100">
        <v>10</v>
      </c>
      <c r="O100">
        <v>10</v>
      </c>
      <c r="P100">
        <v>0</v>
      </c>
      <c r="Q100">
        <v>0</v>
      </c>
      <c r="R100">
        <v>10.8</v>
      </c>
      <c r="S100">
        <v>0.1</v>
      </c>
      <c r="T100">
        <v>0.05</v>
      </c>
      <c r="U100">
        <v>0.02</v>
      </c>
      <c r="V100">
        <v>0.02</v>
      </c>
      <c r="W100">
        <v>0.05</v>
      </c>
      <c r="X100">
        <v>1E-3</v>
      </c>
      <c r="Y100">
        <v>0</v>
      </c>
      <c r="AA100">
        <v>0</v>
      </c>
      <c r="AB100">
        <v>0.3</v>
      </c>
      <c r="AC100">
        <v>0.6</v>
      </c>
      <c r="AD100">
        <v>0.9</v>
      </c>
      <c r="AE100">
        <v>1.1000000000000001</v>
      </c>
      <c r="AG100">
        <v>20</v>
      </c>
      <c r="AH100">
        <v>36</v>
      </c>
      <c r="AI100">
        <v>60</v>
      </c>
      <c r="AJ100">
        <v>0</v>
      </c>
      <c r="AM100" s="6">
        <v>45601</v>
      </c>
    </row>
    <row r="101" spans="1:39" x14ac:dyDescent="0.2">
      <c r="A101" t="s">
        <v>372</v>
      </c>
      <c r="B101" t="s">
        <v>495</v>
      </c>
      <c r="D101" t="s">
        <v>339</v>
      </c>
      <c r="G101">
        <v>24.6</v>
      </c>
      <c r="H101" t="s">
        <v>496</v>
      </c>
      <c r="I101">
        <v>61</v>
      </c>
      <c r="K101">
        <v>3.3</v>
      </c>
      <c r="L101">
        <v>2.1</v>
      </c>
      <c r="M101">
        <v>30</v>
      </c>
      <c r="N101">
        <v>10</v>
      </c>
      <c r="O101">
        <v>10</v>
      </c>
      <c r="Q101">
        <v>0</v>
      </c>
      <c r="S101">
        <v>0.12</v>
      </c>
      <c r="T101">
        <v>0.06</v>
      </c>
      <c r="U101">
        <v>1.4999999999999999E-2</v>
      </c>
      <c r="V101">
        <v>0.02</v>
      </c>
      <c r="W101">
        <v>1.4999999999999999E-2</v>
      </c>
      <c r="X101">
        <v>0.01</v>
      </c>
      <c r="AA101" t="s">
        <v>375</v>
      </c>
      <c r="AB101">
        <v>0.25294117647058822</v>
      </c>
      <c r="AC101">
        <v>0.5</v>
      </c>
      <c r="AD101">
        <v>0.74705882352941189</v>
      </c>
      <c r="AE101">
        <v>1.0352941176470587</v>
      </c>
      <c r="AF101">
        <v>4.6470588235294121</v>
      </c>
      <c r="AG101">
        <v>20.823529411764703</v>
      </c>
      <c r="AH101">
        <v>37.058823529411768</v>
      </c>
      <c r="AI101">
        <v>63.529411764705891</v>
      </c>
      <c r="AM101" s="6">
        <v>45601</v>
      </c>
    </row>
    <row r="102" spans="1:39" x14ac:dyDescent="0.2">
      <c r="A102" t="s">
        <v>372</v>
      </c>
      <c r="B102" t="s">
        <v>497</v>
      </c>
      <c r="D102" t="s">
        <v>339</v>
      </c>
      <c r="G102">
        <v>4</v>
      </c>
      <c r="H102" t="s">
        <v>340</v>
      </c>
      <c r="I102">
        <v>57</v>
      </c>
      <c r="K102">
        <v>11</v>
      </c>
      <c r="L102">
        <v>8</v>
      </c>
      <c r="M102">
        <v>23</v>
      </c>
      <c r="N102">
        <v>10</v>
      </c>
      <c r="O102">
        <v>10</v>
      </c>
      <c r="P102">
        <v>2</v>
      </c>
      <c r="Q102">
        <v>0</v>
      </c>
      <c r="R102">
        <v>4</v>
      </c>
      <c r="S102">
        <v>0.12</v>
      </c>
      <c r="T102">
        <v>0.04</v>
      </c>
      <c r="U102">
        <v>0.01</v>
      </c>
      <c r="V102">
        <v>0.01</v>
      </c>
      <c r="W102">
        <v>0.01</v>
      </c>
      <c r="X102">
        <v>1E-3</v>
      </c>
      <c r="AA102" t="s">
        <v>375</v>
      </c>
      <c r="AB102">
        <v>0.66272721918068467</v>
      </c>
      <c r="AC102">
        <v>1.3</v>
      </c>
      <c r="AD102">
        <v>1.9711391675665881</v>
      </c>
      <c r="AE102">
        <v>2.6764896288872446</v>
      </c>
      <c r="AF102">
        <v>12.58772596301019</v>
      </c>
      <c r="AG102">
        <v>53.545415718759273</v>
      </c>
      <c r="AH102">
        <v>94.528024488906226</v>
      </c>
      <c r="AI102">
        <v>158.21708202226426</v>
      </c>
      <c r="AM102" s="6">
        <v>45601</v>
      </c>
    </row>
    <row r="103" spans="1:39" x14ac:dyDescent="0.2">
      <c r="A103" t="s">
        <v>366</v>
      </c>
      <c r="B103" t="s">
        <v>498</v>
      </c>
      <c r="D103" t="s">
        <v>339</v>
      </c>
      <c r="E103" t="s">
        <v>339</v>
      </c>
      <c r="F103" t="s">
        <v>339</v>
      </c>
      <c r="G103">
        <v>0</v>
      </c>
      <c r="H103" t="s">
        <v>382</v>
      </c>
      <c r="I103">
        <v>66</v>
      </c>
      <c r="K103">
        <v>7.2</v>
      </c>
      <c r="L103">
        <v>3.7</v>
      </c>
      <c r="M103">
        <v>10.9</v>
      </c>
      <c r="N103">
        <v>10</v>
      </c>
      <c r="O103">
        <v>30.7</v>
      </c>
      <c r="P103">
        <v>3.3</v>
      </c>
      <c r="Q103">
        <v>0</v>
      </c>
      <c r="R103">
        <v>20.7</v>
      </c>
      <c r="S103">
        <v>7.8000000000000014E-2</v>
      </c>
      <c r="T103">
        <v>1.2999999999999999E-2</v>
      </c>
      <c r="U103">
        <v>3.0000000000000001E-3</v>
      </c>
      <c r="V103">
        <v>1.0999999999999998E-2</v>
      </c>
      <c r="W103">
        <v>3.0000000000000001E-3</v>
      </c>
      <c r="X103">
        <v>1E-3</v>
      </c>
      <c r="AB103">
        <v>0.71</v>
      </c>
      <c r="AC103">
        <v>1.34</v>
      </c>
      <c r="AD103">
        <v>1.99</v>
      </c>
      <c r="AE103">
        <v>2.56</v>
      </c>
      <c r="AM103" s="6">
        <v>45601</v>
      </c>
    </row>
    <row r="104" spans="1:39" x14ac:dyDescent="0.2">
      <c r="A104" t="s">
        <v>366</v>
      </c>
      <c r="B104" t="s">
        <v>499</v>
      </c>
      <c r="D104" t="s">
        <v>339</v>
      </c>
      <c r="E104" t="s">
        <v>339</v>
      </c>
      <c r="F104" t="s">
        <v>339</v>
      </c>
      <c r="G104">
        <v>0</v>
      </c>
      <c r="H104" t="s">
        <v>500</v>
      </c>
      <c r="I104">
        <v>29</v>
      </c>
      <c r="K104">
        <v>4.5</v>
      </c>
      <c r="L104">
        <v>11</v>
      </c>
      <c r="M104">
        <v>15.5</v>
      </c>
      <c r="N104">
        <v>10.199999999999999</v>
      </c>
      <c r="O104">
        <v>15.1</v>
      </c>
      <c r="P104">
        <v>2.5</v>
      </c>
      <c r="Q104">
        <v>0</v>
      </c>
      <c r="R104">
        <v>36.5</v>
      </c>
      <c r="S104">
        <v>7.8000000000000014E-2</v>
      </c>
      <c r="T104">
        <v>1.2999999999999999E-2</v>
      </c>
      <c r="U104">
        <v>3.0000000000000001E-3</v>
      </c>
      <c r="V104">
        <v>1.0999999999999998E-2</v>
      </c>
      <c r="W104">
        <v>3.0000000000000001E-3</v>
      </c>
      <c r="X104">
        <v>1E-3</v>
      </c>
      <c r="AB104">
        <v>0.7</v>
      </c>
      <c r="AC104">
        <v>1.35</v>
      </c>
      <c r="AD104">
        <v>1.98</v>
      </c>
      <c r="AE104">
        <v>2.58</v>
      </c>
      <c r="AF104">
        <v>13</v>
      </c>
      <c r="AG104">
        <v>51</v>
      </c>
      <c r="AH104">
        <v>92</v>
      </c>
      <c r="AI104">
        <v>154</v>
      </c>
      <c r="AM104" s="6">
        <v>45601</v>
      </c>
    </row>
    <row r="105" spans="1:39" x14ac:dyDescent="0.2">
      <c r="A105" t="s">
        <v>337</v>
      </c>
      <c r="B105" t="s">
        <v>501</v>
      </c>
      <c r="D105" t="s">
        <v>339</v>
      </c>
      <c r="E105" t="s">
        <v>339</v>
      </c>
      <c r="G105">
        <v>0</v>
      </c>
      <c r="K105">
        <v>0</v>
      </c>
      <c r="L105">
        <v>0</v>
      </c>
      <c r="M105">
        <v>0</v>
      </c>
      <c r="N105">
        <v>11</v>
      </c>
      <c r="O105">
        <v>39</v>
      </c>
      <c r="P105">
        <v>4</v>
      </c>
      <c r="Q105">
        <v>0</v>
      </c>
      <c r="R105">
        <v>14.3</v>
      </c>
      <c r="S105">
        <v>0.4</v>
      </c>
      <c r="T105">
        <v>0.08</v>
      </c>
      <c r="U105">
        <v>0.01</v>
      </c>
      <c r="V105">
        <v>3.5000000000000003E-2</v>
      </c>
      <c r="W105">
        <v>6.0000000000000001E-3</v>
      </c>
      <c r="X105">
        <v>1.2E-2</v>
      </c>
      <c r="Y105">
        <v>0</v>
      </c>
      <c r="AA105">
        <v>0</v>
      </c>
      <c r="AB105">
        <v>0.7</v>
      </c>
      <c r="AC105">
        <v>1.4</v>
      </c>
      <c r="AD105">
        <v>2.1</v>
      </c>
      <c r="AE105">
        <v>2.7</v>
      </c>
      <c r="AF105">
        <v>10</v>
      </c>
      <c r="AG105">
        <v>38.5</v>
      </c>
      <c r="AH105">
        <v>68</v>
      </c>
      <c r="AI105">
        <v>106</v>
      </c>
      <c r="AJ105">
        <v>0</v>
      </c>
      <c r="AM105" s="6">
        <v>45601</v>
      </c>
    </row>
    <row r="106" spans="1:39" x14ac:dyDescent="0.2">
      <c r="A106" t="s">
        <v>341</v>
      </c>
      <c r="B106" t="s">
        <v>502</v>
      </c>
      <c r="D106" t="s">
        <v>339</v>
      </c>
      <c r="F106" t="s">
        <v>339</v>
      </c>
      <c r="G106">
        <v>0</v>
      </c>
      <c r="H106" t="s">
        <v>361</v>
      </c>
      <c r="I106">
        <v>100</v>
      </c>
      <c r="K106">
        <v>2</v>
      </c>
      <c r="M106">
        <v>2</v>
      </c>
      <c r="N106">
        <v>11</v>
      </c>
      <c r="O106">
        <v>39</v>
      </c>
      <c r="P106">
        <v>4</v>
      </c>
      <c r="Q106">
        <v>0</v>
      </c>
      <c r="S106">
        <v>0.1</v>
      </c>
      <c r="T106">
        <v>0.05</v>
      </c>
      <c r="U106">
        <v>2.5000000000000001E-2</v>
      </c>
      <c r="V106">
        <v>2.5000000000000001E-2</v>
      </c>
      <c r="W106">
        <v>0.01</v>
      </c>
      <c r="X106">
        <v>2.5000000000000001E-3</v>
      </c>
      <c r="AB106">
        <v>0.6</v>
      </c>
      <c r="AC106">
        <v>1.3</v>
      </c>
      <c r="AD106">
        <v>1.9</v>
      </c>
      <c r="AE106">
        <v>2.5</v>
      </c>
      <c r="AF106">
        <v>10</v>
      </c>
      <c r="AG106">
        <v>42</v>
      </c>
      <c r="AH106">
        <v>74</v>
      </c>
      <c r="AI106">
        <v>122</v>
      </c>
      <c r="AM106" s="6">
        <v>45601</v>
      </c>
    </row>
    <row r="107" spans="1:39" x14ac:dyDescent="0.2">
      <c r="A107" t="s">
        <v>341</v>
      </c>
      <c r="B107" t="s">
        <v>503</v>
      </c>
      <c r="D107" t="s">
        <v>339</v>
      </c>
      <c r="F107" t="s">
        <v>339</v>
      </c>
      <c r="G107">
        <v>0</v>
      </c>
      <c r="H107" t="s">
        <v>378</v>
      </c>
      <c r="I107">
        <v>75</v>
      </c>
      <c r="K107">
        <v>8.4</v>
      </c>
      <c r="L107">
        <v>2.7</v>
      </c>
      <c r="M107">
        <v>11</v>
      </c>
      <c r="N107">
        <v>11</v>
      </c>
      <c r="O107">
        <v>33</v>
      </c>
      <c r="P107">
        <v>2</v>
      </c>
      <c r="Q107">
        <v>0</v>
      </c>
      <c r="AB107">
        <v>0.7</v>
      </c>
      <c r="AC107">
        <v>1.3</v>
      </c>
      <c r="AD107">
        <v>1.9</v>
      </c>
      <c r="AE107">
        <v>2.5</v>
      </c>
      <c r="AF107">
        <v>112</v>
      </c>
      <c r="AG107">
        <v>46</v>
      </c>
      <c r="AH107">
        <v>82</v>
      </c>
      <c r="AI107">
        <v>139</v>
      </c>
      <c r="AM107" s="6">
        <v>45601</v>
      </c>
    </row>
    <row r="108" spans="1:39" x14ac:dyDescent="0.2">
      <c r="A108" t="s">
        <v>372</v>
      </c>
      <c r="B108" t="s">
        <v>504</v>
      </c>
      <c r="D108" t="s">
        <v>339</v>
      </c>
      <c r="G108">
        <v>0</v>
      </c>
      <c r="H108" t="s">
        <v>393</v>
      </c>
      <c r="I108">
        <v>89</v>
      </c>
      <c r="K108">
        <v>9.8000000000000007</v>
      </c>
      <c r="L108">
        <v>1.2</v>
      </c>
      <c r="M108">
        <v>11</v>
      </c>
      <c r="N108">
        <v>11</v>
      </c>
      <c r="O108">
        <v>31</v>
      </c>
      <c r="P108">
        <v>2</v>
      </c>
      <c r="Q108">
        <v>2</v>
      </c>
      <c r="S108">
        <v>0.12</v>
      </c>
      <c r="T108">
        <v>0.04</v>
      </c>
      <c r="U108">
        <v>0.01</v>
      </c>
      <c r="V108">
        <v>0.01</v>
      </c>
      <c r="W108">
        <v>0.01</v>
      </c>
      <c r="X108">
        <v>1E-3</v>
      </c>
      <c r="AA108" t="s">
        <v>375</v>
      </c>
      <c r="AB108">
        <v>0.5607691854605793</v>
      </c>
      <c r="AC108">
        <v>1.1000000000000001</v>
      </c>
      <c r="AD108">
        <v>1.6678869879409595</v>
      </c>
      <c r="AE108">
        <v>2.2647219936738239</v>
      </c>
      <c r="AF108">
        <v>10.651152737931699</v>
      </c>
      <c r="AG108">
        <v>45.307659454334761</v>
      </c>
      <c r="AH108">
        <v>79.985251490612967</v>
      </c>
      <c r="AI108">
        <v>133.87599248037745</v>
      </c>
      <c r="AM108" s="6">
        <v>45601</v>
      </c>
    </row>
    <row r="109" spans="1:39" x14ac:dyDescent="0.2">
      <c r="A109" t="s">
        <v>372</v>
      </c>
      <c r="B109" t="s">
        <v>505</v>
      </c>
      <c r="D109" t="s">
        <v>339</v>
      </c>
      <c r="G109">
        <v>4.4000000000000004</v>
      </c>
      <c r="H109" t="s">
        <v>439</v>
      </c>
      <c r="I109">
        <v>81</v>
      </c>
      <c r="K109">
        <v>8.5999999999999979</v>
      </c>
      <c r="L109">
        <v>2</v>
      </c>
      <c r="M109">
        <v>15</v>
      </c>
      <c r="N109">
        <v>11</v>
      </c>
      <c r="O109">
        <v>29</v>
      </c>
      <c r="Q109">
        <v>0</v>
      </c>
      <c r="S109">
        <v>0.12</v>
      </c>
      <c r="T109">
        <v>0.06</v>
      </c>
      <c r="U109">
        <v>1.4999999999999999E-2</v>
      </c>
      <c r="V109">
        <v>0.02</v>
      </c>
      <c r="W109">
        <v>1.4999999999999999E-2</v>
      </c>
      <c r="X109">
        <v>0.01</v>
      </c>
      <c r="AA109" t="s">
        <v>375</v>
      </c>
      <c r="AB109">
        <v>0.51376146788990817</v>
      </c>
      <c r="AC109">
        <v>1</v>
      </c>
      <c r="AD109">
        <v>1.5596330275229358</v>
      </c>
      <c r="AE109">
        <v>2.0366972477064222</v>
      </c>
      <c r="AF109">
        <v>9.2660550458715587</v>
      </c>
      <c r="AG109">
        <v>41.376146788990816</v>
      </c>
      <c r="AH109">
        <v>73.486238532110079</v>
      </c>
      <c r="AI109">
        <v>124.77064220183485</v>
      </c>
      <c r="AM109" s="6">
        <v>45601</v>
      </c>
    </row>
    <row r="110" spans="1:39" x14ac:dyDescent="0.2">
      <c r="A110" t="s">
        <v>359</v>
      </c>
      <c r="B110" t="s">
        <v>506</v>
      </c>
      <c r="D110" t="s">
        <v>339</v>
      </c>
      <c r="E110" t="s">
        <v>339</v>
      </c>
      <c r="F110" t="s">
        <v>339</v>
      </c>
      <c r="G110">
        <v>0</v>
      </c>
      <c r="H110" t="s">
        <v>389</v>
      </c>
      <c r="I110">
        <v>68</v>
      </c>
      <c r="K110">
        <v>7.5</v>
      </c>
      <c r="L110">
        <v>3.5</v>
      </c>
      <c r="M110">
        <v>11</v>
      </c>
      <c r="N110">
        <v>11</v>
      </c>
      <c r="O110">
        <v>30</v>
      </c>
      <c r="P110">
        <v>3</v>
      </c>
      <c r="Q110">
        <v>0</v>
      </c>
      <c r="R110">
        <v>15</v>
      </c>
      <c r="S110">
        <v>0.1</v>
      </c>
      <c r="T110">
        <v>0.05</v>
      </c>
      <c r="U110">
        <v>1.4999999999999999E-2</v>
      </c>
      <c r="V110">
        <v>0.01</v>
      </c>
      <c r="W110">
        <v>0.02</v>
      </c>
      <c r="X110">
        <v>1E-3</v>
      </c>
      <c r="AB110">
        <v>0.67</v>
      </c>
      <c r="AC110">
        <v>1.27</v>
      </c>
      <c r="AD110">
        <v>1.89</v>
      </c>
      <c r="AE110">
        <v>2.48</v>
      </c>
      <c r="AF110">
        <v>10.8</v>
      </c>
      <c r="AG110">
        <v>45.2</v>
      </c>
      <c r="AH110">
        <v>79.7</v>
      </c>
      <c r="AI110">
        <v>134.80000000000001</v>
      </c>
      <c r="AM110" s="6">
        <v>45601</v>
      </c>
    </row>
    <row r="111" spans="1:39" x14ac:dyDescent="0.2">
      <c r="A111" t="s">
        <v>376</v>
      </c>
      <c r="B111" t="s">
        <v>507</v>
      </c>
      <c r="D111" t="s">
        <v>339</v>
      </c>
      <c r="E111" t="s">
        <v>339</v>
      </c>
      <c r="F111" t="s">
        <v>339</v>
      </c>
      <c r="G111">
        <v>0</v>
      </c>
      <c r="H111" t="s">
        <v>508</v>
      </c>
      <c r="I111">
        <v>96</v>
      </c>
      <c r="K111">
        <v>10.6</v>
      </c>
      <c r="L111">
        <v>0.4</v>
      </c>
      <c r="M111">
        <v>11</v>
      </c>
      <c r="N111">
        <v>11</v>
      </c>
      <c r="O111">
        <v>24</v>
      </c>
      <c r="P111">
        <v>1.6</v>
      </c>
      <c r="Q111">
        <v>9.6999999999999993</v>
      </c>
      <c r="S111">
        <v>7.0000000000000007E-2</v>
      </c>
      <c r="T111">
        <v>0.04</v>
      </c>
      <c r="U111">
        <v>2.5000000000000001E-2</v>
      </c>
      <c r="V111">
        <v>2.5000000000000001E-2</v>
      </c>
      <c r="W111">
        <v>0.01</v>
      </c>
      <c r="X111">
        <v>4.0000000000000001E-3</v>
      </c>
      <c r="AB111">
        <v>0.7</v>
      </c>
      <c r="AC111">
        <v>1.3</v>
      </c>
      <c r="AE111">
        <v>2.35</v>
      </c>
      <c r="AF111">
        <v>9.9</v>
      </c>
      <c r="AH111">
        <v>66</v>
      </c>
      <c r="AI111">
        <v>102</v>
      </c>
      <c r="AM111" s="6">
        <v>45601</v>
      </c>
    </row>
    <row r="112" spans="1:39" x14ac:dyDescent="0.2">
      <c r="A112" t="s">
        <v>372</v>
      </c>
      <c r="B112" t="s">
        <v>509</v>
      </c>
      <c r="D112" t="s">
        <v>339</v>
      </c>
      <c r="G112">
        <v>13.1</v>
      </c>
      <c r="H112" t="s">
        <v>485</v>
      </c>
      <c r="I112">
        <v>78</v>
      </c>
      <c r="K112">
        <v>5.4</v>
      </c>
      <c r="L112">
        <v>1.5</v>
      </c>
      <c r="M112">
        <v>20</v>
      </c>
      <c r="N112">
        <v>11</v>
      </c>
      <c r="O112">
        <v>20</v>
      </c>
      <c r="P112">
        <v>3</v>
      </c>
      <c r="Q112">
        <v>0</v>
      </c>
      <c r="R112">
        <v>6.2</v>
      </c>
      <c r="S112">
        <v>0.25</v>
      </c>
      <c r="T112">
        <v>0.06</v>
      </c>
      <c r="V112">
        <v>0.02</v>
      </c>
      <c r="W112">
        <v>1.4999999999999999E-2</v>
      </c>
      <c r="X112">
        <v>0.01</v>
      </c>
      <c r="AA112" t="s">
        <v>375</v>
      </c>
      <c r="AB112">
        <v>0.46244780392327489</v>
      </c>
      <c r="AC112">
        <v>0.9</v>
      </c>
      <c r="AD112">
        <v>1.3907134895117983</v>
      </c>
      <c r="AE112">
        <v>1.8338269011071919</v>
      </c>
      <c r="AF112">
        <v>8.3555275949587848</v>
      </c>
      <c r="AG112">
        <v>36.781096747957513</v>
      </c>
      <c r="AH112">
        <v>64.980518694834771</v>
      </c>
      <c r="AI112">
        <v>108.27668321288864</v>
      </c>
      <c r="AM112" s="6">
        <v>45601</v>
      </c>
    </row>
    <row r="113" spans="1:39" x14ac:dyDescent="0.2">
      <c r="A113" t="s">
        <v>372</v>
      </c>
      <c r="B113" t="s">
        <v>510</v>
      </c>
      <c r="D113" t="s">
        <v>339</v>
      </c>
      <c r="G113">
        <v>4.4000000000000004</v>
      </c>
      <c r="H113" t="s">
        <v>464</v>
      </c>
      <c r="I113">
        <v>65</v>
      </c>
      <c r="K113">
        <v>9.5</v>
      </c>
      <c r="L113">
        <v>5.0999999999999996</v>
      </c>
      <c r="M113">
        <v>19</v>
      </c>
      <c r="N113">
        <v>11</v>
      </c>
      <c r="O113">
        <v>19</v>
      </c>
      <c r="Q113">
        <v>0</v>
      </c>
      <c r="S113">
        <v>0.2</v>
      </c>
      <c r="T113">
        <v>0.04</v>
      </c>
      <c r="U113">
        <v>0.01</v>
      </c>
      <c r="V113">
        <v>0.01</v>
      </c>
      <c r="W113">
        <v>0.01</v>
      </c>
      <c r="X113">
        <v>1E-3</v>
      </c>
      <c r="AA113" t="s">
        <v>375</v>
      </c>
      <c r="AB113">
        <v>0.61174820232063198</v>
      </c>
      <c r="AC113">
        <v>1.2</v>
      </c>
      <c r="AD113">
        <v>1.8195130777537727</v>
      </c>
      <c r="AE113">
        <v>2.4706058112805342</v>
      </c>
      <c r="AF113">
        <v>11.619439350470945</v>
      </c>
      <c r="AG113">
        <v>49.426537586547006</v>
      </c>
      <c r="AH113">
        <v>87.256637989759597</v>
      </c>
      <c r="AI113">
        <v>146.04653725132084</v>
      </c>
      <c r="AM113" s="6">
        <v>45601</v>
      </c>
    </row>
    <row r="114" spans="1:39" x14ac:dyDescent="0.2">
      <c r="A114" t="s">
        <v>372</v>
      </c>
      <c r="B114" t="s">
        <v>511</v>
      </c>
      <c r="D114" t="s">
        <v>339</v>
      </c>
      <c r="G114">
        <v>0.5</v>
      </c>
      <c r="H114" t="s">
        <v>340</v>
      </c>
      <c r="I114">
        <v>57</v>
      </c>
      <c r="K114">
        <v>10</v>
      </c>
      <c r="L114">
        <v>7.5</v>
      </c>
      <c r="M114">
        <v>18</v>
      </c>
      <c r="N114">
        <v>11</v>
      </c>
      <c r="O114">
        <v>18</v>
      </c>
      <c r="P114">
        <v>2.5</v>
      </c>
      <c r="Q114">
        <v>0</v>
      </c>
      <c r="R114">
        <v>8.3000000000000007</v>
      </c>
      <c r="S114">
        <v>0.1</v>
      </c>
      <c r="T114">
        <v>0.04</v>
      </c>
      <c r="U114">
        <v>0.01</v>
      </c>
      <c r="V114">
        <v>0.01</v>
      </c>
      <c r="W114">
        <v>0.01</v>
      </c>
      <c r="X114">
        <v>1E-3</v>
      </c>
      <c r="AA114" t="s">
        <v>375</v>
      </c>
      <c r="AB114">
        <v>0.66272721918068467</v>
      </c>
      <c r="AC114">
        <v>1.3</v>
      </c>
      <c r="AD114">
        <v>1.9711391675665881</v>
      </c>
      <c r="AE114">
        <v>2.6764896288872446</v>
      </c>
      <c r="AF114">
        <v>12.58772596301019</v>
      </c>
      <c r="AG114">
        <v>53.545415718759273</v>
      </c>
      <c r="AH114">
        <v>94.528024488906226</v>
      </c>
      <c r="AI114">
        <v>158.21708202226426</v>
      </c>
      <c r="AM114" s="6">
        <v>45601</v>
      </c>
    </row>
    <row r="115" spans="1:39" x14ac:dyDescent="0.2">
      <c r="A115" t="s">
        <v>376</v>
      </c>
      <c r="B115" t="s">
        <v>512</v>
      </c>
      <c r="D115" t="s">
        <v>339</v>
      </c>
      <c r="E115" t="s">
        <v>339</v>
      </c>
      <c r="F115" t="s">
        <v>339</v>
      </c>
      <c r="G115">
        <v>0</v>
      </c>
      <c r="H115" t="s">
        <v>371</v>
      </c>
      <c r="I115">
        <v>56</v>
      </c>
      <c r="K115">
        <v>9.1</v>
      </c>
      <c r="L115">
        <v>6.9</v>
      </c>
      <c r="M115">
        <v>16</v>
      </c>
      <c r="N115">
        <v>11</v>
      </c>
      <c r="O115">
        <v>16</v>
      </c>
      <c r="P115">
        <v>4</v>
      </c>
      <c r="Q115">
        <v>0</v>
      </c>
      <c r="S115">
        <v>7.0000000000000007E-2</v>
      </c>
      <c r="T115">
        <v>0.04</v>
      </c>
      <c r="U115">
        <v>2.5000000000000001E-2</v>
      </c>
      <c r="V115">
        <v>2.5000000000000001E-2</v>
      </c>
      <c r="W115">
        <v>0.01</v>
      </c>
      <c r="X115">
        <v>4.0000000000000001E-3</v>
      </c>
      <c r="AB115">
        <v>0.7</v>
      </c>
      <c r="AC115">
        <v>1.4</v>
      </c>
      <c r="AD115">
        <v>2</v>
      </c>
      <c r="AE115">
        <v>2.6</v>
      </c>
      <c r="AF115">
        <v>12.3</v>
      </c>
      <c r="AG115">
        <v>46.3</v>
      </c>
      <c r="AH115">
        <v>82</v>
      </c>
      <c r="AI115">
        <v>135</v>
      </c>
      <c r="AM115" s="6">
        <v>45601</v>
      </c>
    </row>
    <row r="116" spans="1:39" x14ac:dyDescent="0.2">
      <c r="A116" t="s">
        <v>372</v>
      </c>
      <c r="B116" t="s">
        <v>513</v>
      </c>
      <c r="D116" t="s">
        <v>339</v>
      </c>
      <c r="G116">
        <v>0</v>
      </c>
      <c r="H116" t="s">
        <v>458</v>
      </c>
      <c r="I116">
        <v>31</v>
      </c>
      <c r="K116">
        <v>4.5</v>
      </c>
      <c r="L116">
        <v>9.9</v>
      </c>
      <c r="M116">
        <v>15</v>
      </c>
      <c r="N116">
        <v>11</v>
      </c>
      <c r="O116">
        <v>15</v>
      </c>
      <c r="P116">
        <v>2</v>
      </c>
      <c r="Q116">
        <v>0</v>
      </c>
      <c r="S116">
        <v>0.06</v>
      </c>
      <c r="T116">
        <v>0.04</v>
      </c>
      <c r="U116">
        <v>0.01</v>
      </c>
      <c r="V116">
        <v>0.01</v>
      </c>
      <c r="W116">
        <v>0.01</v>
      </c>
      <c r="X116">
        <v>1E-3</v>
      </c>
      <c r="AA116" t="s">
        <v>375</v>
      </c>
      <c r="AB116">
        <v>0.76468525290078992</v>
      </c>
      <c r="AC116">
        <v>1.5</v>
      </c>
      <c r="AD116">
        <v>2.2743913471922168</v>
      </c>
      <c r="AE116">
        <v>3.088257264100668</v>
      </c>
      <c r="AF116">
        <v>14.524299188088678</v>
      </c>
      <c r="AG116">
        <v>61.783171983183763</v>
      </c>
      <c r="AH116">
        <v>109.07079748719948</v>
      </c>
      <c r="AI116">
        <v>182.55817156415105</v>
      </c>
      <c r="AM116" s="6">
        <v>45601</v>
      </c>
    </row>
    <row r="117" spans="1:39" x14ac:dyDescent="0.2">
      <c r="A117" t="s">
        <v>337</v>
      </c>
      <c r="B117" t="s">
        <v>514</v>
      </c>
      <c r="D117" t="s">
        <v>339</v>
      </c>
      <c r="E117" t="s">
        <v>339</v>
      </c>
      <c r="F117" t="s">
        <v>339</v>
      </c>
      <c r="G117">
        <v>0</v>
      </c>
      <c r="H117" t="s">
        <v>515</v>
      </c>
      <c r="I117">
        <v>63</v>
      </c>
      <c r="K117">
        <v>3.8</v>
      </c>
      <c r="L117">
        <v>2.2000000000000002</v>
      </c>
      <c r="M117">
        <v>6</v>
      </c>
      <c r="N117">
        <v>12</v>
      </c>
      <c r="O117">
        <v>36</v>
      </c>
      <c r="P117">
        <v>2</v>
      </c>
      <c r="Q117">
        <v>0</v>
      </c>
      <c r="R117">
        <v>30</v>
      </c>
      <c r="S117">
        <v>7.0000000000000007E-2</v>
      </c>
      <c r="T117">
        <v>0.05</v>
      </c>
      <c r="U117">
        <v>0.01</v>
      </c>
      <c r="V117">
        <v>0.03</v>
      </c>
      <c r="W117">
        <v>0.01</v>
      </c>
      <c r="X117">
        <v>1E-3</v>
      </c>
      <c r="Y117">
        <v>0</v>
      </c>
      <c r="AA117">
        <v>0</v>
      </c>
      <c r="AB117">
        <v>0.7</v>
      </c>
      <c r="AC117">
        <v>1.4</v>
      </c>
      <c r="AD117">
        <v>2</v>
      </c>
      <c r="AE117">
        <v>2.6</v>
      </c>
      <c r="AH117">
        <v>80</v>
      </c>
      <c r="AJ117">
        <v>0</v>
      </c>
      <c r="AM117" s="6">
        <v>45601</v>
      </c>
    </row>
    <row r="118" spans="1:39" x14ac:dyDescent="0.2">
      <c r="A118" t="s">
        <v>376</v>
      </c>
      <c r="B118" t="s">
        <v>516</v>
      </c>
      <c r="D118" t="s">
        <v>339</v>
      </c>
      <c r="E118" t="s">
        <v>339</v>
      </c>
      <c r="F118" t="s">
        <v>339</v>
      </c>
      <c r="G118">
        <v>0</v>
      </c>
      <c r="H118" t="s">
        <v>378</v>
      </c>
      <c r="I118">
        <v>75</v>
      </c>
      <c r="K118">
        <v>4.5</v>
      </c>
      <c r="L118">
        <v>1.5</v>
      </c>
      <c r="M118">
        <v>6</v>
      </c>
      <c r="N118">
        <v>12</v>
      </c>
      <c r="O118">
        <v>36</v>
      </c>
      <c r="P118">
        <v>3</v>
      </c>
      <c r="Q118">
        <v>0</v>
      </c>
      <c r="R118">
        <v>20</v>
      </c>
      <c r="S118">
        <v>7.0000000000000007E-2</v>
      </c>
      <c r="T118">
        <v>0.04</v>
      </c>
      <c r="U118">
        <v>2.5000000000000001E-2</v>
      </c>
      <c r="V118">
        <v>2.5000000000000001E-2</v>
      </c>
      <c r="W118">
        <v>0.01</v>
      </c>
      <c r="X118">
        <v>4.0000000000000001E-3</v>
      </c>
      <c r="AA118">
        <v>1.25</v>
      </c>
      <c r="AB118">
        <v>0.7</v>
      </c>
      <c r="AC118">
        <v>1.3</v>
      </c>
      <c r="AD118">
        <v>1.4</v>
      </c>
      <c r="AE118">
        <v>1.6</v>
      </c>
      <c r="AF118">
        <v>10</v>
      </c>
      <c r="AG118">
        <v>41</v>
      </c>
      <c r="AH118">
        <v>75</v>
      </c>
      <c r="AM118" s="6">
        <v>45601</v>
      </c>
    </row>
    <row r="119" spans="1:39" x14ac:dyDescent="0.2">
      <c r="A119" t="s">
        <v>376</v>
      </c>
      <c r="B119" t="s">
        <v>517</v>
      </c>
      <c r="D119" t="s">
        <v>339</v>
      </c>
      <c r="E119" t="s">
        <v>339</v>
      </c>
      <c r="F119" t="s">
        <v>339</v>
      </c>
      <c r="G119">
        <v>0</v>
      </c>
      <c r="H119" t="s">
        <v>467</v>
      </c>
      <c r="I119">
        <v>84</v>
      </c>
      <c r="K119">
        <v>10.1</v>
      </c>
      <c r="L119">
        <v>1.9</v>
      </c>
      <c r="M119">
        <v>12</v>
      </c>
      <c r="N119">
        <v>12</v>
      </c>
      <c r="O119">
        <v>36</v>
      </c>
      <c r="P119">
        <v>1</v>
      </c>
      <c r="Q119">
        <v>0</v>
      </c>
      <c r="R119">
        <v>2.5</v>
      </c>
      <c r="S119">
        <v>7.0000000000000007E-2</v>
      </c>
      <c r="T119">
        <v>0.04</v>
      </c>
      <c r="U119">
        <v>2.5000000000000001E-2</v>
      </c>
      <c r="V119">
        <v>2.5000000000000001E-2</v>
      </c>
      <c r="W119">
        <v>0.01</v>
      </c>
      <c r="X119">
        <v>4.0000000000000001E-3</v>
      </c>
      <c r="AB119">
        <v>0.7</v>
      </c>
      <c r="AC119">
        <v>1.3</v>
      </c>
      <c r="AD119">
        <v>1.9</v>
      </c>
      <c r="AE119">
        <v>2.6</v>
      </c>
      <c r="AF119">
        <v>11</v>
      </c>
      <c r="AG119">
        <v>43</v>
      </c>
      <c r="AH119">
        <v>75</v>
      </c>
      <c r="AI119">
        <v>122</v>
      </c>
      <c r="AM119" s="6">
        <v>45601</v>
      </c>
    </row>
    <row r="120" spans="1:39" x14ac:dyDescent="0.2">
      <c r="A120" t="s">
        <v>359</v>
      </c>
      <c r="B120" t="s">
        <v>518</v>
      </c>
      <c r="D120" t="s">
        <v>339</v>
      </c>
      <c r="E120" t="s">
        <v>339</v>
      </c>
      <c r="F120" t="s">
        <v>339</v>
      </c>
      <c r="G120">
        <v>0</v>
      </c>
      <c r="H120" t="s">
        <v>519</v>
      </c>
      <c r="I120">
        <v>37</v>
      </c>
      <c r="K120">
        <v>3</v>
      </c>
      <c r="L120">
        <v>5</v>
      </c>
      <c r="M120">
        <v>8</v>
      </c>
      <c r="N120">
        <v>12</v>
      </c>
      <c r="O120">
        <v>24</v>
      </c>
      <c r="P120">
        <v>4</v>
      </c>
      <c r="Q120">
        <v>0</v>
      </c>
      <c r="R120">
        <v>37.200000000000003</v>
      </c>
      <c r="S120">
        <v>0.05</v>
      </c>
      <c r="T120">
        <v>0.05</v>
      </c>
      <c r="U120">
        <v>0.02</v>
      </c>
      <c r="V120">
        <v>0.01</v>
      </c>
      <c r="W120">
        <v>0.02</v>
      </c>
      <c r="X120">
        <v>1E-3</v>
      </c>
      <c r="AB120">
        <v>0.78</v>
      </c>
      <c r="AC120">
        <v>1.51</v>
      </c>
      <c r="AD120">
        <v>2.1800000000000002</v>
      </c>
      <c r="AE120">
        <v>3.47</v>
      </c>
      <c r="AF120">
        <v>14.5</v>
      </c>
      <c r="AG120">
        <v>44.4</v>
      </c>
      <c r="AH120">
        <v>82.4</v>
      </c>
      <c r="AI120">
        <v>134.69999999999999</v>
      </c>
      <c r="AM120" s="6">
        <v>45601</v>
      </c>
    </row>
    <row r="121" spans="1:39" x14ac:dyDescent="0.2">
      <c r="A121" t="s">
        <v>337</v>
      </c>
      <c r="B121" t="s">
        <v>520</v>
      </c>
      <c r="D121" t="s">
        <v>339</v>
      </c>
      <c r="G121">
        <v>7</v>
      </c>
      <c r="H121" t="s">
        <v>473</v>
      </c>
      <c r="I121">
        <v>76</v>
      </c>
      <c r="K121">
        <v>7.5999999999999988</v>
      </c>
      <c r="L121">
        <v>2.4</v>
      </c>
      <c r="M121">
        <v>17</v>
      </c>
      <c r="N121">
        <v>12</v>
      </c>
      <c r="O121">
        <v>26</v>
      </c>
      <c r="P121">
        <v>2</v>
      </c>
      <c r="Q121">
        <v>0</v>
      </c>
      <c r="R121">
        <v>4.8</v>
      </c>
      <c r="S121">
        <v>0.1</v>
      </c>
      <c r="T121">
        <v>0.05</v>
      </c>
      <c r="U121">
        <v>0.02</v>
      </c>
      <c r="V121">
        <v>0.02</v>
      </c>
      <c r="W121">
        <v>0.05</v>
      </c>
      <c r="X121">
        <v>1E-3</v>
      </c>
      <c r="Y121">
        <v>0</v>
      </c>
      <c r="AA121">
        <v>0</v>
      </c>
      <c r="AB121">
        <v>0.5</v>
      </c>
      <c r="AC121">
        <v>1.1000000000000001</v>
      </c>
      <c r="AD121">
        <v>1.6</v>
      </c>
      <c r="AE121">
        <v>2.1</v>
      </c>
      <c r="AG121">
        <v>38</v>
      </c>
      <c r="AH121">
        <v>68</v>
      </c>
      <c r="AI121">
        <v>113</v>
      </c>
      <c r="AJ121">
        <v>0</v>
      </c>
      <c r="AM121" s="6">
        <v>45601</v>
      </c>
    </row>
    <row r="122" spans="1:39" x14ac:dyDescent="0.2">
      <c r="A122" t="s">
        <v>372</v>
      </c>
      <c r="B122" t="s">
        <v>521</v>
      </c>
      <c r="D122" t="s">
        <v>339</v>
      </c>
      <c r="G122">
        <v>12.9</v>
      </c>
      <c r="H122" t="s">
        <v>483</v>
      </c>
      <c r="I122">
        <v>74</v>
      </c>
      <c r="K122">
        <v>5.3</v>
      </c>
      <c r="L122">
        <v>1.8</v>
      </c>
      <c r="M122">
        <v>20</v>
      </c>
      <c r="N122">
        <v>12</v>
      </c>
      <c r="O122">
        <v>20</v>
      </c>
      <c r="P122">
        <v>3</v>
      </c>
      <c r="Q122">
        <v>0</v>
      </c>
      <c r="R122">
        <v>6.1</v>
      </c>
      <c r="S122">
        <v>0.25</v>
      </c>
      <c r="T122">
        <v>0.06</v>
      </c>
      <c r="U122">
        <v>1.4999999999999999E-2</v>
      </c>
      <c r="V122">
        <v>0.02</v>
      </c>
      <c r="W122">
        <v>1.4999999999999999E-2</v>
      </c>
      <c r="X122">
        <v>0.01</v>
      </c>
      <c r="AA122" t="s">
        <v>375</v>
      </c>
      <c r="AB122">
        <v>0.46244780392327489</v>
      </c>
      <c r="AC122">
        <v>0.9</v>
      </c>
      <c r="AD122">
        <v>1.3907134895117983</v>
      </c>
      <c r="AE122">
        <v>1.8338269011071919</v>
      </c>
      <c r="AF122">
        <v>8.3555275949587848</v>
      </c>
      <c r="AG122">
        <v>36.781096747957513</v>
      </c>
      <c r="AH122">
        <v>64.980518694834771</v>
      </c>
      <c r="AI122">
        <v>108.27668321288864</v>
      </c>
      <c r="AM122" s="6">
        <v>45601</v>
      </c>
    </row>
    <row r="123" spans="1:39" x14ac:dyDescent="0.2">
      <c r="A123" t="s">
        <v>337</v>
      </c>
      <c r="B123" t="s">
        <v>522</v>
      </c>
      <c r="D123" t="s">
        <v>339</v>
      </c>
      <c r="E123" t="s">
        <v>339</v>
      </c>
      <c r="G123">
        <v>0</v>
      </c>
      <c r="H123" t="s">
        <v>523</v>
      </c>
      <c r="I123">
        <v>55</v>
      </c>
      <c r="K123">
        <v>10</v>
      </c>
      <c r="L123">
        <v>8</v>
      </c>
      <c r="M123">
        <v>18</v>
      </c>
      <c r="N123">
        <v>12</v>
      </c>
      <c r="O123">
        <v>18</v>
      </c>
      <c r="P123">
        <v>2</v>
      </c>
      <c r="Q123">
        <v>0</v>
      </c>
      <c r="R123">
        <v>8.0999999999999979</v>
      </c>
      <c r="S123">
        <v>0.01</v>
      </c>
      <c r="T123">
        <v>0.05</v>
      </c>
      <c r="U123">
        <v>0.01</v>
      </c>
      <c r="V123">
        <v>0.02</v>
      </c>
      <c r="W123">
        <v>0.04</v>
      </c>
      <c r="X123">
        <v>2E-3</v>
      </c>
      <c r="Y123">
        <v>0</v>
      </c>
      <c r="AA123">
        <v>0</v>
      </c>
      <c r="AB123">
        <v>0.7</v>
      </c>
      <c r="AC123">
        <v>1.4</v>
      </c>
      <c r="AD123">
        <v>2</v>
      </c>
      <c r="AE123">
        <v>2.6</v>
      </c>
      <c r="AF123">
        <v>12</v>
      </c>
      <c r="AG123">
        <v>49</v>
      </c>
      <c r="AH123">
        <v>88</v>
      </c>
      <c r="AI123">
        <v>149</v>
      </c>
      <c r="AJ123">
        <v>0</v>
      </c>
      <c r="AM123" s="6">
        <v>45601</v>
      </c>
    </row>
    <row r="124" spans="1:39" x14ac:dyDescent="0.2">
      <c r="A124" t="s">
        <v>341</v>
      </c>
      <c r="B124" t="s">
        <v>524</v>
      </c>
      <c r="G124">
        <v>0</v>
      </c>
      <c r="H124" t="s">
        <v>523</v>
      </c>
      <c r="I124">
        <v>55</v>
      </c>
      <c r="K124">
        <v>10</v>
      </c>
      <c r="L124">
        <v>8</v>
      </c>
      <c r="M124">
        <v>18</v>
      </c>
      <c r="N124">
        <v>12</v>
      </c>
      <c r="O124">
        <v>18</v>
      </c>
      <c r="P124">
        <v>2</v>
      </c>
      <c r="Q124">
        <v>0</v>
      </c>
      <c r="AB124">
        <v>0.7</v>
      </c>
      <c r="AC124">
        <v>1.3</v>
      </c>
      <c r="AD124">
        <v>1.9</v>
      </c>
      <c r="AE124">
        <v>2.5</v>
      </c>
      <c r="AF124">
        <v>11</v>
      </c>
      <c r="AG124">
        <v>46</v>
      </c>
      <c r="AH124">
        <v>82</v>
      </c>
      <c r="AI124">
        <v>142</v>
      </c>
      <c r="AM124" s="6">
        <v>45601</v>
      </c>
    </row>
    <row r="125" spans="1:39" x14ac:dyDescent="0.2">
      <c r="A125" t="s">
        <v>359</v>
      </c>
      <c r="B125" t="s">
        <v>525</v>
      </c>
      <c r="D125" t="s">
        <v>339</v>
      </c>
      <c r="E125" t="s">
        <v>339</v>
      </c>
      <c r="F125" t="s">
        <v>339</v>
      </c>
      <c r="G125">
        <v>0</v>
      </c>
      <c r="H125" t="s">
        <v>340</v>
      </c>
      <c r="I125">
        <v>57</v>
      </c>
      <c r="K125">
        <v>10.3</v>
      </c>
      <c r="L125">
        <v>7.7</v>
      </c>
      <c r="M125">
        <v>18</v>
      </c>
      <c r="N125">
        <v>12</v>
      </c>
      <c r="O125">
        <v>18</v>
      </c>
      <c r="P125">
        <v>2.4</v>
      </c>
      <c r="Q125">
        <v>0</v>
      </c>
      <c r="R125">
        <v>6.24</v>
      </c>
      <c r="S125">
        <v>0.1</v>
      </c>
      <c r="T125">
        <v>0.05</v>
      </c>
      <c r="U125">
        <v>1.4999999999999999E-2</v>
      </c>
      <c r="V125">
        <v>0.01</v>
      </c>
      <c r="W125">
        <v>0.02</v>
      </c>
      <c r="X125">
        <v>1E-3</v>
      </c>
      <c r="AB125">
        <v>0.71999999999999986</v>
      </c>
      <c r="AC125">
        <v>1.36</v>
      </c>
      <c r="AD125">
        <v>2</v>
      </c>
      <c r="AE125">
        <v>2.65</v>
      </c>
      <c r="AF125">
        <v>11.8</v>
      </c>
      <c r="AG125">
        <v>49.3</v>
      </c>
      <c r="AH125">
        <v>89</v>
      </c>
      <c r="AI125">
        <v>148</v>
      </c>
      <c r="AM125" s="6">
        <v>45601</v>
      </c>
    </row>
    <row r="126" spans="1:39" x14ac:dyDescent="0.2">
      <c r="A126" t="s">
        <v>366</v>
      </c>
      <c r="B126" t="s">
        <v>526</v>
      </c>
      <c r="D126" t="s">
        <v>339</v>
      </c>
      <c r="E126" t="s">
        <v>339</v>
      </c>
      <c r="F126" t="s">
        <v>339</v>
      </c>
      <c r="G126">
        <v>0</v>
      </c>
      <c r="H126" t="s">
        <v>494</v>
      </c>
      <c r="I126">
        <v>25</v>
      </c>
      <c r="K126">
        <v>2.2000000000000002</v>
      </c>
      <c r="L126">
        <v>6.3</v>
      </c>
      <c r="M126">
        <v>8.5</v>
      </c>
      <c r="N126">
        <v>12</v>
      </c>
      <c r="O126">
        <v>24.2</v>
      </c>
      <c r="P126">
        <v>4.0999999999999996</v>
      </c>
      <c r="Q126">
        <v>0</v>
      </c>
      <c r="R126">
        <v>41</v>
      </c>
      <c r="S126">
        <v>7.8000000000000014E-2</v>
      </c>
      <c r="T126">
        <v>1.2999999999999999E-2</v>
      </c>
      <c r="U126">
        <v>3.0000000000000001E-3</v>
      </c>
      <c r="V126">
        <v>1.0999999999999998E-2</v>
      </c>
      <c r="W126">
        <v>3.0000000000000001E-3</v>
      </c>
      <c r="X126">
        <v>1E-3</v>
      </c>
      <c r="AB126">
        <v>0.64</v>
      </c>
      <c r="AC126">
        <v>1.22</v>
      </c>
      <c r="AD126">
        <v>1.77</v>
      </c>
      <c r="AE126">
        <v>2.31</v>
      </c>
      <c r="AM126" s="6">
        <v>45601</v>
      </c>
    </row>
    <row r="127" spans="1:39" x14ac:dyDescent="0.2">
      <c r="A127" t="s">
        <v>366</v>
      </c>
      <c r="B127" t="s">
        <v>527</v>
      </c>
      <c r="D127" t="s">
        <v>339</v>
      </c>
      <c r="G127">
        <v>0</v>
      </c>
      <c r="H127" t="s">
        <v>371</v>
      </c>
      <c r="I127">
        <v>56</v>
      </c>
      <c r="K127">
        <v>7.1</v>
      </c>
      <c r="L127">
        <v>5.5</v>
      </c>
      <c r="M127">
        <v>12.6</v>
      </c>
      <c r="N127">
        <v>12.1</v>
      </c>
      <c r="O127">
        <v>24</v>
      </c>
      <c r="P127">
        <v>4.3</v>
      </c>
      <c r="Q127">
        <v>0</v>
      </c>
      <c r="R127">
        <v>21</v>
      </c>
      <c r="S127">
        <v>7.8000000000000014E-2</v>
      </c>
      <c r="T127">
        <v>1.2999999999999999E-2</v>
      </c>
      <c r="U127">
        <v>3.0000000000000001E-3</v>
      </c>
      <c r="V127">
        <v>1.0999999999999998E-2</v>
      </c>
      <c r="W127">
        <v>3.0000000000000001E-3</v>
      </c>
      <c r="X127">
        <v>1E-3</v>
      </c>
      <c r="AB127">
        <v>0.64</v>
      </c>
      <c r="AC127">
        <v>1.22</v>
      </c>
      <c r="AD127">
        <v>1.77</v>
      </c>
      <c r="AE127">
        <v>2.31</v>
      </c>
      <c r="AM127" s="6">
        <v>45601</v>
      </c>
    </row>
    <row r="128" spans="1:39" x14ac:dyDescent="0.2">
      <c r="A128" t="s">
        <v>366</v>
      </c>
      <c r="B128" t="s">
        <v>528</v>
      </c>
      <c r="D128" t="s">
        <v>339</v>
      </c>
      <c r="G128">
        <v>0</v>
      </c>
      <c r="H128" t="s">
        <v>340</v>
      </c>
      <c r="I128">
        <v>57</v>
      </c>
      <c r="K128">
        <v>11</v>
      </c>
      <c r="L128">
        <v>8</v>
      </c>
      <c r="M128">
        <v>19</v>
      </c>
      <c r="N128">
        <v>12.7</v>
      </c>
      <c r="O128">
        <v>18.399999999999999</v>
      </c>
      <c r="P128">
        <v>2</v>
      </c>
      <c r="Q128">
        <v>0</v>
      </c>
      <c r="R128">
        <v>4.8</v>
      </c>
      <c r="S128">
        <v>7.8000000000000014E-2</v>
      </c>
      <c r="T128">
        <v>1.2999999999999999E-2</v>
      </c>
      <c r="U128">
        <v>3.0000000000000001E-3</v>
      </c>
      <c r="V128">
        <v>1.0999999999999998E-2</v>
      </c>
      <c r="W128">
        <v>3.0000000000000001E-3</v>
      </c>
      <c r="X128">
        <v>1E-3</v>
      </c>
      <c r="AB128">
        <v>0.65</v>
      </c>
      <c r="AC128">
        <v>1.25</v>
      </c>
      <c r="AD128">
        <v>1.83</v>
      </c>
      <c r="AE128">
        <v>2.42</v>
      </c>
      <c r="AF128">
        <v>13</v>
      </c>
      <c r="AG128">
        <v>50</v>
      </c>
      <c r="AH128">
        <v>91</v>
      </c>
      <c r="AI128">
        <v>150</v>
      </c>
      <c r="AM128" s="6">
        <v>45601</v>
      </c>
    </row>
    <row r="129" spans="1:39" x14ac:dyDescent="0.2">
      <c r="A129" t="s">
        <v>337</v>
      </c>
      <c r="B129" t="s">
        <v>529</v>
      </c>
      <c r="D129" t="s">
        <v>339</v>
      </c>
      <c r="E129" t="s">
        <v>339</v>
      </c>
      <c r="G129">
        <v>0</v>
      </c>
      <c r="K129">
        <v>0</v>
      </c>
      <c r="L129">
        <v>0</v>
      </c>
      <c r="M129">
        <v>0</v>
      </c>
      <c r="N129">
        <v>14</v>
      </c>
      <c r="O129">
        <v>38</v>
      </c>
      <c r="P129">
        <v>5</v>
      </c>
      <c r="Q129">
        <v>0</v>
      </c>
      <c r="R129">
        <v>14</v>
      </c>
      <c r="S129">
        <v>0.2</v>
      </c>
      <c r="T129">
        <v>0.04</v>
      </c>
      <c r="U129">
        <v>5.0000000000000001E-3</v>
      </c>
      <c r="V129">
        <v>0.02</v>
      </c>
      <c r="W129">
        <v>3.0000000000000001E-3</v>
      </c>
      <c r="X129">
        <v>6.0000000000000001E-3</v>
      </c>
      <c r="Y129">
        <v>0</v>
      </c>
      <c r="AA129">
        <v>0</v>
      </c>
      <c r="AB129">
        <v>0.6</v>
      </c>
      <c r="AC129">
        <v>1.2</v>
      </c>
      <c r="AD129">
        <v>1.8</v>
      </c>
      <c r="AE129">
        <v>2.2999999999999998</v>
      </c>
      <c r="AF129">
        <v>9.5</v>
      </c>
      <c r="AG129">
        <v>38</v>
      </c>
      <c r="AH129">
        <v>60</v>
      </c>
      <c r="AI129">
        <v>91</v>
      </c>
      <c r="AJ129">
        <v>0</v>
      </c>
      <c r="AM129" s="6">
        <v>45601</v>
      </c>
    </row>
    <row r="130" spans="1:39" x14ac:dyDescent="0.2">
      <c r="A130" t="s">
        <v>341</v>
      </c>
      <c r="B130" t="s">
        <v>530</v>
      </c>
      <c r="D130" t="s">
        <v>339</v>
      </c>
      <c r="F130" t="s">
        <v>339</v>
      </c>
      <c r="G130">
        <v>0</v>
      </c>
      <c r="K130">
        <v>0</v>
      </c>
      <c r="L130">
        <v>0</v>
      </c>
      <c r="M130">
        <v>0</v>
      </c>
      <c r="N130">
        <v>14</v>
      </c>
      <c r="O130">
        <v>38</v>
      </c>
      <c r="P130">
        <v>5</v>
      </c>
      <c r="Q130">
        <v>0</v>
      </c>
      <c r="S130">
        <v>0.1</v>
      </c>
      <c r="T130">
        <v>0.05</v>
      </c>
      <c r="U130">
        <v>2.5000000000000001E-2</v>
      </c>
      <c r="V130">
        <v>2.5000000000000001E-2</v>
      </c>
      <c r="W130">
        <v>0.01</v>
      </c>
      <c r="X130">
        <v>2.5000000000000001E-3</v>
      </c>
      <c r="AB130">
        <v>0.6</v>
      </c>
      <c r="AC130">
        <v>1.3</v>
      </c>
      <c r="AD130">
        <v>1.9</v>
      </c>
      <c r="AE130">
        <v>2.5</v>
      </c>
      <c r="AF130">
        <v>10</v>
      </c>
      <c r="AG130">
        <v>40</v>
      </c>
      <c r="AH130">
        <v>71</v>
      </c>
      <c r="AI130">
        <v>117</v>
      </c>
      <c r="AM130" s="6">
        <v>45601</v>
      </c>
    </row>
    <row r="131" spans="1:39" x14ac:dyDescent="0.2">
      <c r="A131" t="s">
        <v>337</v>
      </c>
      <c r="B131" t="s">
        <v>531</v>
      </c>
      <c r="D131" t="s">
        <v>339</v>
      </c>
      <c r="E131" t="s">
        <v>339</v>
      </c>
      <c r="G131">
        <v>0</v>
      </c>
      <c r="H131" t="s">
        <v>361</v>
      </c>
      <c r="I131">
        <v>100</v>
      </c>
      <c r="K131">
        <v>6</v>
      </c>
      <c r="L131">
        <v>0</v>
      </c>
      <c r="M131">
        <v>6</v>
      </c>
      <c r="N131">
        <v>14</v>
      </c>
      <c r="O131">
        <v>37</v>
      </c>
      <c r="P131">
        <v>4</v>
      </c>
      <c r="Q131">
        <v>0</v>
      </c>
      <c r="R131">
        <v>5.5</v>
      </c>
      <c r="S131">
        <v>0.2</v>
      </c>
      <c r="T131">
        <v>0.04</v>
      </c>
      <c r="U131">
        <v>5.0000000000000001E-3</v>
      </c>
      <c r="V131">
        <v>0.02</v>
      </c>
      <c r="W131">
        <v>3.0000000000000001E-3</v>
      </c>
      <c r="X131">
        <v>6.0000000000000001E-3</v>
      </c>
      <c r="Y131">
        <v>0</v>
      </c>
      <c r="AA131">
        <v>0</v>
      </c>
      <c r="AB131">
        <v>0.5</v>
      </c>
      <c r="AC131">
        <v>1.2</v>
      </c>
      <c r="AD131">
        <v>1.7</v>
      </c>
      <c r="AE131">
        <v>2.2999999999999998</v>
      </c>
      <c r="AF131">
        <v>9.5</v>
      </c>
      <c r="AG131">
        <v>40</v>
      </c>
      <c r="AH131">
        <v>72</v>
      </c>
      <c r="AI131">
        <v>120</v>
      </c>
      <c r="AJ131">
        <v>0</v>
      </c>
      <c r="AM131" s="6">
        <v>45601</v>
      </c>
    </row>
    <row r="132" spans="1:39" x14ac:dyDescent="0.2">
      <c r="A132" t="s">
        <v>341</v>
      </c>
      <c r="B132" t="s">
        <v>532</v>
      </c>
      <c r="D132" t="s">
        <v>339</v>
      </c>
      <c r="F132" t="s">
        <v>339</v>
      </c>
      <c r="G132">
        <v>0</v>
      </c>
      <c r="H132" t="s">
        <v>361</v>
      </c>
      <c r="I132">
        <v>100</v>
      </c>
      <c r="K132">
        <v>6</v>
      </c>
      <c r="M132">
        <v>6</v>
      </c>
      <c r="N132">
        <v>14</v>
      </c>
      <c r="O132">
        <v>37</v>
      </c>
      <c r="P132">
        <v>4</v>
      </c>
      <c r="Q132">
        <v>0</v>
      </c>
      <c r="AB132">
        <v>0.5</v>
      </c>
      <c r="AC132">
        <v>1.2</v>
      </c>
      <c r="AD132">
        <v>1.7</v>
      </c>
      <c r="AE132">
        <v>2.2000000000000002</v>
      </c>
      <c r="AF132">
        <v>10</v>
      </c>
      <c r="AG132">
        <v>40</v>
      </c>
      <c r="AH132">
        <v>70</v>
      </c>
      <c r="AI132">
        <v>117</v>
      </c>
      <c r="AM132" s="6">
        <v>45601</v>
      </c>
    </row>
    <row r="133" spans="1:39" x14ac:dyDescent="0.2">
      <c r="A133" t="s">
        <v>372</v>
      </c>
      <c r="B133" t="s">
        <v>533</v>
      </c>
      <c r="D133" t="s">
        <v>339</v>
      </c>
      <c r="G133">
        <v>5.3</v>
      </c>
      <c r="H133" t="s">
        <v>393</v>
      </c>
      <c r="I133">
        <v>89</v>
      </c>
      <c r="K133">
        <v>8.6999999999999975</v>
      </c>
      <c r="L133">
        <v>1</v>
      </c>
      <c r="M133">
        <v>15</v>
      </c>
      <c r="N133">
        <v>14</v>
      </c>
      <c r="O133">
        <v>25</v>
      </c>
      <c r="Q133">
        <v>0</v>
      </c>
      <c r="S133">
        <v>0.12</v>
      </c>
      <c r="T133">
        <v>0.06</v>
      </c>
      <c r="U133">
        <v>1.4999999999999999E-2</v>
      </c>
      <c r="V133">
        <v>0.02</v>
      </c>
      <c r="W133">
        <v>1.4999999999999999E-2</v>
      </c>
      <c r="X133">
        <v>0.01</v>
      </c>
      <c r="AA133" t="s">
        <v>375</v>
      </c>
      <c r="AB133">
        <v>0.44</v>
      </c>
      <c r="AC133">
        <v>0.81999999999999984</v>
      </c>
      <c r="AD133">
        <v>1.21</v>
      </c>
      <c r="AE133">
        <v>1.85</v>
      </c>
      <c r="AF133">
        <v>10.6</v>
      </c>
      <c r="AG133">
        <v>35.299999999999997</v>
      </c>
      <c r="AH133">
        <v>61.5</v>
      </c>
      <c r="AI133">
        <v>100.1</v>
      </c>
      <c r="AM133" s="6">
        <v>45601</v>
      </c>
    </row>
    <row r="134" spans="1:39" x14ac:dyDescent="0.2">
      <c r="A134" t="s">
        <v>337</v>
      </c>
      <c r="B134" t="s">
        <v>534</v>
      </c>
      <c r="D134" t="s">
        <v>339</v>
      </c>
      <c r="G134">
        <v>11</v>
      </c>
      <c r="H134" t="s">
        <v>363</v>
      </c>
      <c r="I134">
        <v>64</v>
      </c>
      <c r="K134">
        <v>5.8</v>
      </c>
      <c r="L134">
        <v>3.2</v>
      </c>
      <c r="M134">
        <v>20</v>
      </c>
      <c r="N134">
        <v>14</v>
      </c>
      <c r="O134">
        <v>20</v>
      </c>
      <c r="P134">
        <v>2</v>
      </c>
      <c r="Q134">
        <v>0</v>
      </c>
      <c r="R134">
        <v>5.7</v>
      </c>
      <c r="S134">
        <v>0.1</v>
      </c>
      <c r="T134">
        <v>0.05</v>
      </c>
      <c r="U134">
        <v>0.02</v>
      </c>
      <c r="V134">
        <v>0.02</v>
      </c>
      <c r="W134">
        <v>0.05</v>
      </c>
      <c r="X134">
        <v>1E-3</v>
      </c>
      <c r="Y134">
        <v>0</v>
      </c>
      <c r="AA134">
        <v>0</v>
      </c>
      <c r="AB134">
        <v>0.5</v>
      </c>
      <c r="AC134">
        <v>1</v>
      </c>
      <c r="AD134">
        <v>1.5</v>
      </c>
      <c r="AE134">
        <v>2</v>
      </c>
      <c r="AG134">
        <v>34</v>
      </c>
      <c r="AH134">
        <v>60</v>
      </c>
      <c r="AI134">
        <v>100</v>
      </c>
      <c r="AJ134">
        <v>0</v>
      </c>
      <c r="AM134" s="6">
        <v>45601</v>
      </c>
    </row>
    <row r="135" spans="1:39" x14ac:dyDescent="0.2">
      <c r="A135" t="s">
        <v>398</v>
      </c>
      <c r="B135" t="s">
        <v>535</v>
      </c>
      <c r="D135" t="s">
        <v>339</v>
      </c>
      <c r="F135" t="s">
        <v>339</v>
      </c>
      <c r="G135">
        <v>0</v>
      </c>
      <c r="H135" t="s">
        <v>536</v>
      </c>
      <c r="I135">
        <v>12</v>
      </c>
      <c r="K135">
        <v>1</v>
      </c>
      <c r="L135">
        <v>7</v>
      </c>
      <c r="M135">
        <v>8</v>
      </c>
      <c r="N135">
        <v>14</v>
      </c>
      <c r="O135">
        <v>18</v>
      </c>
      <c r="P135">
        <v>4</v>
      </c>
      <c r="Q135">
        <v>0</v>
      </c>
      <c r="Z135" t="s">
        <v>408</v>
      </c>
      <c r="AB135">
        <v>0.8</v>
      </c>
      <c r="AC135">
        <v>1.4</v>
      </c>
      <c r="AD135">
        <v>2</v>
      </c>
      <c r="AE135">
        <v>2.6</v>
      </c>
      <c r="AF135">
        <v>9</v>
      </c>
      <c r="AG135">
        <v>40</v>
      </c>
      <c r="AH135">
        <v>73</v>
      </c>
      <c r="AI135">
        <v>122</v>
      </c>
      <c r="AM135" s="6">
        <v>45601</v>
      </c>
    </row>
    <row r="136" spans="1:39" x14ac:dyDescent="0.2">
      <c r="A136" t="s">
        <v>376</v>
      </c>
      <c r="B136" t="s">
        <v>537</v>
      </c>
      <c r="D136" t="s">
        <v>339</v>
      </c>
      <c r="E136" t="s">
        <v>339</v>
      </c>
      <c r="F136" t="s">
        <v>339</v>
      </c>
      <c r="G136">
        <v>0</v>
      </c>
      <c r="H136" t="s">
        <v>369</v>
      </c>
      <c r="I136">
        <v>70</v>
      </c>
      <c r="K136">
        <v>9.9</v>
      </c>
      <c r="L136">
        <v>4.0999999999999996</v>
      </c>
      <c r="M136">
        <v>14</v>
      </c>
      <c r="N136">
        <v>14</v>
      </c>
      <c r="O136">
        <v>14</v>
      </c>
      <c r="P136">
        <v>2</v>
      </c>
      <c r="Q136">
        <v>9</v>
      </c>
      <c r="S136">
        <v>7.0000000000000007E-2</v>
      </c>
      <c r="T136">
        <v>0.04</v>
      </c>
      <c r="U136">
        <v>2.5000000000000001E-2</v>
      </c>
      <c r="V136">
        <v>2.5000000000000001E-2</v>
      </c>
      <c r="W136">
        <v>0.01</v>
      </c>
      <c r="X136">
        <v>4.0000000000000001E-3</v>
      </c>
      <c r="AB136">
        <v>0.7</v>
      </c>
      <c r="AC136">
        <v>1.3</v>
      </c>
      <c r="AE136">
        <v>2.25</v>
      </c>
      <c r="AF136">
        <v>9.6999999999999993</v>
      </c>
      <c r="AH136">
        <v>66</v>
      </c>
      <c r="AI136">
        <v>104</v>
      </c>
      <c r="AM136" s="6">
        <v>45601</v>
      </c>
    </row>
    <row r="137" spans="1:39" x14ac:dyDescent="0.2">
      <c r="A137" t="s">
        <v>359</v>
      </c>
      <c r="B137" t="s">
        <v>538</v>
      </c>
      <c r="D137" t="s">
        <v>339</v>
      </c>
      <c r="E137" t="s">
        <v>339</v>
      </c>
      <c r="F137" t="s">
        <v>339</v>
      </c>
      <c r="G137">
        <v>0</v>
      </c>
      <c r="H137" t="s">
        <v>361</v>
      </c>
      <c r="I137">
        <v>100</v>
      </c>
      <c r="K137">
        <v>3</v>
      </c>
      <c r="M137">
        <v>3</v>
      </c>
      <c r="N137">
        <v>15</v>
      </c>
      <c r="O137">
        <v>36</v>
      </c>
      <c r="P137">
        <v>4</v>
      </c>
      <c r="Q137">
        <v>0</v>
      </c>
      <c r="R137">
        <v>27.84</v>
      </c>
      <c r="S137">
        <v>0.2</v>
      </c>
      <c r="T137">
        <v>0.05</v>
      </c>
      <c r="U137">
        <v>1.4999999999999999E-2</v>
      </c>
      <c r="V137">
        <v>0.01</v>
      </c>
      <c r="W137">
        <v>0.02</v>
      </c>
      <c r="X137">
        <v>1E-3</v>
      </c>
      <c r="AB137">
        <v>0.67</v>
      </c>
      <c r="AC137">
        <v>1.28</v>
      </c>
      <c r="AD137">
        <v>1.88</v>
      </c>
      <c r="AE137">
        <v>2.4</v>
      </c>
      <c r="AF137">
        <v>10.3</v>
      </c>
      <c r="AG137">
        <v>41.4</v>
      </c>
      <c r="AH137">
        <v>71.5</v>
      </c>
      <c r="AI137">
        <v>119.6</v>
      </c>
      <c r="AM137" s="6">
        <v>45601</v>
      </c>
    </row>
    <row r="138" spans="1:39" x14ac:dyDescent="0.2">
      <c r="A138" t="s">
        <v>337</v>
      </c>
      <c r="B138" t="s">
        <v>539</v>
      </c>
      <c r="D138" t="s">
        <v>339</v>
      </c>
      <c r="E138" t="s">
        <v>339</v>
      </c>
      <c r="F138" t="s">
        <v>339</v>
      </c>
      <c r="G138">
        <v>0</v>
      </c>
      <c r="H138" t="s">
        <v>361</v>
      </c>
      <c r="I138">
        <v>100</v>
      </c>
      <c r="K138">
        <v>3</v>
      </c>
      <c r="L138">
        <v>0</v>
      </c>
      <c r="M138">
        <v>3</v>
      </c>
      <c r="N138">
        <v>15</v>
      </c>
      <c r="O138">
        <v>35</v>
      </c>
      <c r="P138">
        <v>5</v>
      </c>
      <c r="Q138">
        <v>0</v>
      </c>
      <c r="R138">
        <v>9.1999999999999993</v>
      </c>
      <c r="S138">
        <v>0.4</v>
      </c>
      <c r="T138">
        <v>0.08</v>
      </c>
      <c r="U138">
        <v>0.01</v>
      </c>
      <c r="V138">
        <v>3.5000000000000003E-2</v>
      </c>
      <c r="W138">
        <v>6.0000000000000001E-3</v>
      </c>
      <c r="X138">
        <v>1.2E-2</v>
      </c>
      <c r="Y138">
        <v>0</v>
      </c>
      <c r="AA138">
        <v>0</v>
      </c>
      <c r="AB138">
        <v>0.6</v>
      </c>
      <c r="AC138">
        <v>1.2</v>
      </c>
      <c r="AD138">
        <v>1.7</v>
      </c>
      <c r="AE138">
        <v>2.2000000000000002</v>
      </c>
      <c r="AF138">
        <v>9</v>
      </c>
      <c r="AG138">
        <v>37</v>
      </c>
      <c r="AH138">
        <v>58</v>
      </c>
      <c r="AI138">
        <v>89</v>
      </c>
      <c r="AJ138">
        <v>0</v>
      </c>
      <c r="AM138" s="6">
        <v>45601</v>
      </c>
    </row>
    <row r="139" spans="1:39" x14ac:dyDescent="0.2">
      <c r="A139" t="s">
        <v>341</v>
      </c>
      <c r="B139" t="s">
        <v>540</v>
      </c>
      <c r="D139" t="s">
        <v>339</v>
      </c>
      <c r="F139" t="s">
        <v>339</v>
      </c>
      <c r="G139">
        <v>0</v>
      </c>
      <c r="H139" t="s">
        <v>361</v>
      </c>
      <c r="I139">
        <v>100</v>
      </c>
      <c r="K139">
        <v>3</v>
      </c>
      <c r="L139">
        <v>0</v>
      </c>
      <c r="M139">
        <v>3</v>
      </c>
      <c r="N139">
        <v>15</v>
      </c>
      <c r="O139">
        <v>35</v>
      </c>
      <c r="P139">
        <v>5</v>
      </c>
      <c r="Q139">
        <v>0</v>
      </c>
      <c r="S139">
        <v>0.1</v>
      </c>
      <c r="T139">
        <v>0.05</v>
      </c>
      <c r="U139">
        <v>2.5000000000000001E-2</v>
      </c>
      <c r="V139">
        <v>2.5000000000000001E-2</v>
      </c>
      <c r="W139">
        <v>0.01</v>
      </c>
      <c r="X139">
        <v>2.5000000000000001E-3</v>
      </c>
      <c r="AB139">
        <v>0.6</v>
      </c>
      <c r="AC139">
        <v>1.2</v>
      </c>
      <c r="AD139">
        <v>1.7</v>
      </c>
      <c r="AE139">
        <v>2.2999999999999998</v>
      </c>
      <c r="AF139">
        <v>9.5</v>
      </c>
      <c r="AG139">
        <v>38</v>
      </c>
      <c r="AH139">
        <v>67</v>
      </c>
      <c r="AI139">
        <v>110</v>
      </c>
      <c r="AM139" s="6">
        <v>45601</v>
      </c>
    </row>
    <row r="140" spans="1:39" x14ac:dyDescent="0.2">
      <c r="A140" t="s">
        <v>337</v>
      </c>
      <c r="B140" t="s">
        <v>541</v>
      </c>
      <c r="D140" t="s">
        <v>339</v>
      </c>
      <c r="G140">
        <v>0</v>
      </c>
      <c r="H140" t="s">
        <v>369</v>
      </c>
      <c r="I140">
        <v>70</v>
      </c>
      <c r="K140">
        <v>10.5</v>
      </c>
      <c r="L140">
        <v>4.5</v>
      </c>
      <c r="M140">
        <v>15</v>
      </c>
      <c r="N140">
        <v>15</v>
      </c>
      <c r="O140">
        <v>30</v>
      </c>
      <c r="P140">
        <v>0</v>
      </c>
      <c r="Q140">
        <v>0</v>
      </c>
      <c r="R140">
        <v>0</v>
      </c>
      <c r="S140">
        <v>0.1</v>
      </c>
      <c r="T140">
        <v>0.05</v>
      </c>
      <c r="U140">
        <v>0.02</v>
      </c>
      <c r="V140">
        <v>0.02</v>
      </c>
      <c r="W140">
        <v>0.05</v>
      </c>
      <c r="X140">
        <v>1E-3</v>
      </c>
      <c r="Y140">
        <v>0</v>
      </c>
      <c r="AA140">
        <v>0</v>
      </c>
      <c r="AB140">
        <v>0.6</v>
      </c>
      <c r="AC140">
        <v>1.2</v>
      </c>
      <c r="AD140">
        <v>1.8</v>
      </c>
      <c r="AE140">
        <v>2.4</v>
      </c>
      <c r="AH140">
        <v>73</v>
      </c>
      <c r="AJ140">
        <v>0</v>
      </c>
      <c r="AM140" s="6">
        <v>45601</v>
      </c>
    </row>
    <row r="141" spans="1:39" x14ac:dyDescent="0.2">
      <c r="A141" t="s">
        <v>337</v>
      </c>
      <c r="B141" t="s">
        <v>542</v>
      </c>
      <c r="D141" t="s">
        <v>339</v>
      </c>
      <c r="E141" t="s">
        <v>339</v>
      </c>
      <c r="F141" t="s">
        <v>339</v>
      </c>
      <c r="G141">
        <v>0</v>
      </c>
      <c r="H141" t="s">
        <v>434</v>
      </c>
      <c r="I141">
        <v>0</v>
      </c>
      <c r="K141">
        <v>0</v>
      </c>
      <c r="L141">
        <v>8</v>
      </c>
      <c r="M141">
        <v>8</v>
      </c>
      <c r="N141">
        <v>15</v>
      </c>
      <c r="O141">
        <v>20</v>
      </c>
      <c r="P141">
        <v>2</v>
      </c>
      <c r="Q141">
        <v>0</v>
      </c>
      <c r="R141">
        <v>47.4</v>
      </c>
      <c r="S141">
        <v>7.0000000000000007E-2</v>
      </c>
      <c r="T141">
        <v>0.05</v>
      </c>
      <c r="U141">
        <v>0.01</v>
      </c>
      <c r="V141">
        <v>0.03</v>
      </c>
      <c r="W141">
        <v>0.01</v>
      </c>
      <c r="X141">
        <v>1E-3</v>
      </c>
      <c r="Y141">
        <v>0</v>
      </c>
      <c r="AA141">
        <v>0</v>
      </c>
      <c r="AB141">
        <v>0.7</v>
      </c>
      <c r="AC141">
        <v>1.4</v>
      </c>
      <c r="AD141">
        <v>2</v>
      </c>
      <c r="AE141">
        <v>2.7</v>
      </c>
      <c r="AG141">
        <v>47</v>
      </c>
      <c r="AH141">
        <v>82</v>
      </c>
      <c r="AJ141">
        <v>0</v>
      </c>
      <c r="AM141" s="6">
        <v>45601</v>
      </c>
    </row>
    <row r="142" spans="1:39" x14ac:dyDescent="0.2">
      <c r="A142" t="s">
        <v>337</v>
      </c>
      <c r="B142" t="s">
        <v>543</v>
      </c>
      <c r="D142" t="s">
        <v>339</v>
      </c>
      <c r="E142" t="s">
        <v>339</v>
      </c>
      <c r="G142">
        <v>20.5</v>
      </c>
      <c r="H142" t="s">
        <v>413</v>
      </c>
      <c r="I142">
        <v>53</v>
      </c>
      <c r="K142">
        <v>3.5</v>
      </c>
      <c r="L142">
        <v>3</v>
      </c>
      <c r="M142">
        <v>27</v>
      </c>
      <c r="N142">
        <v>15</v>
      </c>
      <c r="O142">
        <v>12</v>
      </c>
      <c r="P142">
        <v>1</v>
      </c>
      <c r="Q142">
        <v>0</v>
      </c>
      <c r="R142">
        <v>1.5</v>
      </c>
      <c r="S142">
        <v>0.1</v>
      </c>
      <c r="T142">
        <v>0.05</v>
      </c>
      <c r="U142">
        <v>0.02</v>
      </c>
      <c r="V142">
        <v>0.02</v>
      </c>
      <c r="W142">
        <v>0.05</v>
      </c>
      <c r="X142">
        <v>1E-3</v>
      </c>
      <c r="Y142">
        <v>0</v>
      </c>
      <c r="AA142">
        <v>0</v>
      </c>
      <c r="AB142">
        <v>0.3</v>
      </c>
      <c r="AC142">
        <v>0.6</v>
      </c>
      <c r="AD142">
        <v>0.9</v>
      </c>
      <c r="AE142">
        <v>1.2</v>
      </c>
      <c r="AH142">
        <v>38</v>
      </c>
      <c r="AJ142">
        <v>0</v>
      </c>
      <c r="AM142" s="6">
        <v>45601</v>
      </c>
    </row>
    <row r="143" spans="1:39" x14ac:dyDescent="0.2">
      <c r="A143" t="s">
        <v>372</v>
      </c>
      <c r="B143" t="s">
        <v>544</v>
      </c>
      <c r="D143" t="s">
        <v>339</v>
      </c>
      <c r="G143">
        <v>20.5</v>
      </c>
      <c r="H143" t="s">
        <v>523</v>
      </c>
      <c r="I143">
        <v>55</v>
      </c>
      <c r="K143">
        <v>3.6</v>
      </c>
      <c r="L143">
        <v>2.9</v>
      </c>
      <c r="M143">
        <v>27</v>
      </c>
      <c r="N143">
        <v>15</v>
      </c>
      <c r="O143">
        <v>12</v>
      </c>
      <c r="Q143">
        <v>0</v>
      </c>
      <c r="R143">
        <v>0.8</v>
      </c>
      <c r="S143">
        <v>0.15</v>
      </c>
      <c r="T143">
        <v>7.0000000000000007E-2</v>
      </c>
      <c r="U143">
        <v>7.0000000000000007E-2</v>
      </c>
      <c r="V143">
        <v>0.03</v>
      </c>
      <c r="W143">
        <v>7.0000000000000007E-2</v>
      </c>
      <c r="X143">
        <v>1E-3</v>
      </c>
      <c r="AA143" t="s">
        <v>375</v>
      </c>
      <c r="AB143">
        <v>0.30719999999999997</v>
      </c>
      <c r="AC143">
        <v>0.6</v>
      </c>
      <c r="AD143">
        <v>0.94079999999999997</v>
      </c>
      <c r="AE143">
        <v>1.2192000000000001</v>
      </c>
      <c r="AF143">
        <v>5.6159999999999997</v>
      </c>
      <c r="AG143">
        <v>24.815999999999999</v>
      </c>
      <c r="AH143">
        <v>44.351999999999997</v>
      </c>
      <c r="AI143">
        <v>75.84</v>
      </c>
      <c r="AM143" s="6">
        <v>45601</v>
      </c>
    </row>
    <row r="144" spans="1:39" x14ac:dyDescent="0.2">
      <c r="A144" t="s">
        <v>337</v>
      </c>
      <c r="B144" t="s">
        <v>545</v>
      </c>
      <c r="D144" t="s">
        <v>339</v>
      </c>
      <c r="E144" t="s">
        <v>339</v>
      </c>
      <c r="G144">
        <v>0</v>
      </c>
      <c r="H144" t="s">
        <v>391</v>
      </c>
      <c r="I144">
        <v>20</v>
      </c>
      <c r="K144">
        <v>0.8</v>
      </c>
      <c r="L144">
        <v>3.2</v>
      </c>
      <c r="M144">
        <v>4</v>
      </c>
      <c r="N144">
        <v>16</v>
      </c>
      <c r="O144">
        <v>32</v>
      </c>
      <c r="P144">
        <v>6</v>
      </c>
      <c r="Q144">
        <v>0</v>
      </c>
      <c r="R144">
        <v>12</v>
      </c>
      <c r="S144">
        <v>0.36</v>
      </c>
      <c r="T144">
        <v>0.08</v>
      </c>
      <c r="U144">
        <v>0.01</v>
      </c>
      <c r="V144">
        <v>3.5000000000000003E-2</v>
      </c>
      <c r="W144">
        <v>6.0000000000000001E-3</v>
      </c>
      <c r="X144">
        <v>1.2E-2</v>
      </c>
      <c r="Y144">
        <v>0</v>
      </c>
      <c r="AA144">
        <v>0</v>
      </c>
      <c r="AB144">
        <v>0.6</v>
      </c>
      <c r="AC144">
        <v>1.4</v>
      </c>
      <c r="AD144">
        <v>1.9</v>
      </c>
      <c r="AE144">
        <v>2.6</v>
      </c>
      <c r="AF144">
        <v>10</v>
      </c>
      <c r="AG144">
        <v>42</v>
      </c>
      <c r="AH144">
        <v>74</v>
      </c>
      <c r="AI144">
        <v>124</v>
      </c>
      <c r="AJ144">
        <v>0</v>
      </c>
      <c r="AM144" s="6">
        <v>45601</v>
      </c>
    </row>
    <row r="145" spans="1:39" x14ac:dyDescent="0.2">
      <c r="A145" t="s">
        <v>341</v>
      </c>
      <c r="B145" t="s">
        <v>546</v>
      </c>
      <c r="D145" t="s">
        <v>339</v>
      </c>
      <c r="F145" t="s">
        <v>339</v>
      </c>
      <c r="G145">
        <v>0</v>
      </c>
      <c r="H145" t="s">
        <v>391</v>
      </c>
      <c r="I145">
        <v>20</v>
      </c>
      <c r="K145">
        <v>0.8</v>
      </c>
      <c r="L145">
        <v>3.2</v>
      </c>
      <c r="M145">
        <v>4</v>
      </c>
      <c r="N145">
        <v>16</v>
      </c>
      <c r="O145">
        <v>32</v>
      </c>
      <c r="P145">
        <v>6</v>
      </c>
      <c r="Q145">
        <v>0</v>
      </c>
      <c r="AB145">
        <v>0.6</v>
      </c>
      <c r="AC145">
        <v>1.2</v>
      </c>
      <c r="AD145">
        <v>1.7</v>
      </c>
      <c r="AE145">
        <v>2.2000000000000002</v>
      </c>
      <c r="AF145">
        <v>10</v>
      </c>
      <c r="AG145">
        <v>37</v>
      </c>
      <c r="AH145">
        <v>65</v>
      </c>
      <c r="AI145">
        <v>107</v>
      </c>
      <c r="AM145" s="6">
        <v>45601</v>
      </c>
    </row>
    <row r="146" spans="1:39" x14ac:dyDescent="0.2">
      <c r="A146" t="s">
        <v>337</v>
      </c>
      <c r="B146" t="s">
        <v>547</v>
      </c>
      <c r="D146" t="s">
        <v>339</v>
      </c>
      <c r="E146" t="s">
        <v>339</v>
      </c>
      <c r="F146" t="s">
        <v>339</v>
      </c>
      <c r="G146">
        <v>0</v>
      </c>
      <c r="H146" t="s">
        <v>458</v>
      </c>
      <c r="I146">
        <v>31</v>
      </c>
      <c r="K146">
        <v>2.5</v>
      </c>
      <c r="L146">
        <v>5.5</v>
      </c>
      <c r="M146">
        <v>8</v>
      </c>
      <c r="N146">
        <v>16</v>
      </c>
      <c r="O146">
        <v>24</v>
      </c>
      <c r="P146">
        <v>4</v>
      </c>
      <c r="Q146">
        <v>0</v>
      </c>
      <c r="R146">
        <v>21.6</v>
      </c>
      <c r="S146">
        <v>7.4999999999999983E-2</v>
      </c>
      <c r="T146">
        <v>0.05</v>
      </c>
      <c r="U146">
        <v>0.01</v>
      </c>
      <c r="V146">
        <v>0.02</v>
      </c>
      <c r="W146">
        <v>0.03</v>
      </c>
      <c r="X146">
        <v>1E-3</v>
      </c>
      <c r="Y146">
        <v>0</v>
      </c>
      <c r="AA146">
        <v>0</v>
      </c>
      <c r="AB146">
        <v>0.7</v>
      </c>
      <c r="AC146">
        <v>1.3</v>
      </c>
      <c r="AD146">
        <v>1.9</v>
      </c>
      <c r="AE146">
        <v>2.5</v>
      </c>
      <c r="AF146">
        <v>11</v>
      </c>
      <c r="AG146">
        <v>42</v>
      </c>
      <c r="AH146">
        <v>76</v>
      </c>
      <c r="AI146">
        <v>129</v>
      </c>
      <c r="AJ146">
        <v>0</v>
      </c>
      <c r="AM146" s="6">
        <v>45601</v>
      </c>
    </row>
    <row r="147" spans="1:39" x14ac:dyDescent="0.2">
      <c r="A147" t="s">
        <v>341</v>
      </c>
      <c r="B147" t="s">
        <v>548</v>
      </c>
      <c r="D147" t="s">
        <v>339</v>
      </c>
      <c r="F147" t="s">
        <v>339</v>
      </c>
      <c r="G147">
        <v>0</v>
      </c>
      <c r="H147" t="s">
        <v>458</v>
      </c>
      <c r="I147">
        <v>31</v>
      </c>
      <c r="K147">
        <v>2.5</v>
      </c>
      <c r="L147">
        <v>5.5</v>
      </c>
      <c r="M147">
        <v>8</v>
      </c>
      <c r="N147">
        <v>16</v>
      </c>
      <c r="O147">
        <v>24</v>
      </c>
      <c r="P147">
        <v>4</v>
      </c>
      <c r="Q147">
        <v>0</v>
      </c>
      <c r="S147">
        <v>0.1</v>
      </c>
      <c r="T147">
        <v>0.05</v>
      </c>
      <c r="U147">
        <v>2.5000000000000001E-2</v>
      </c>
      <c r="V147">
        <v>2.5000000000000001E-2</v>
      </c>
      <c r="W147">
        <v>0.01</v>
      </c>
      <c r="X147">
        <v>2.5000000000000001E-3</v>
      </c>
      <c r="AB147">
        <v>0.7</v>
      </c>
      <c r="AC147">
        <v>1.3</v>
      </c>
      <c r="AD147">
        <v>1.9</v>
      </c>
      <c r="AE147">
        <v>2.5</v>
      </c>
      <c r="AF147">
        <v>10</v>
      </c>
      <c r="AG147">
        <v>42</v>
      </c>
      <c r="AH147">
        <v>73</v>
      </c>
      <c r="AI147">
        <v>121</v>
      </c>
      <c r="AM147" s="6">
        <v>45601</v>
      </c>
    </row>
    <row r="148" spans="1:39" x14ac:dyDescent="0.2">
      <c r="A148" t="s">
        <v>372</v>
      </c>
      <c r="B148" t="s">
        <v>549</v>
      </c>
      <c r="D148" t="s">
        <v>339</v>
      </c>
      <c r="G148">
        <v>0</v>
      </c>
      <c r="H148" t="s">
        <v>361</v>
      </c>
      <c r="I148">
        <v>100</v>
      </c>
      <c r="K148">
        <v>6</v>
      </c>
      <c r="M148">
        <v>6</v>
      </c>
      <c r="N148">
        <v>17</v>
      </c>
      <c r="O148">
        <v>36</v>
      </c>
      <c r="P148">
        <v>3</v>
      </c>
      <c r="Q148">
        <v>0</v>
      </c>
      <c r="R148">
        <v>7.3</v>
      </c>
      <c r="S148">
        <v>0.25</v>
      </c>
      <c r="T148">
        <v>0.06</v>
      </c>
      <c r="W148">
        <v>1.4999999999999999E-2</v>
      </c>
      <c r="X148">
        <v>0.01</v>
      </c>
      <c r="AA148" t="s">
        <v>375</v>
      </c>
      <c r="AB148">
        <v>0.57156862745098047</v>
      </c>
      <c r="AC148">
        <v>1.1000000000000001</v>
      </c>
      <c r="AD148">
        <v>1.7254901960784317</v>
      </c>
      <c r="AE148">
        <v>2.3186274509803924</v>
      </c>
      <c r="AF148">
        <v>10.245098039215687</v>
      </c>
      <c r="AG148">
        <v>44</v>
      </c>
      <c r="AH148">
        <v>77.431372549019628</v>
      </c>
      <c r="AI148">
        <v>126.17647058823528</v>
      </c>
      <c r="AM148" s="6">
        <v>45601</v>
      </c>
    </row>
    <row r="149" spans="1:39" x14ac:dyDescent="0.2">
      <c r="A149" t="s">
        <v>372</v>
      </c>
      <c r="B149" t="s">
        <v>550</v>
      </c>
      <c r="D149" t="s">
        <v>339</v>
      </c>
      <c r="G149">
        <v>0</v>
      </c>
      <c r="H149" t="s">
        <v>361</v>
      </c>
      <c r="I149">
        <v>100</v>
      </c>
      <c r="K149">
        <v>6</v>
      </c>
      <c r="M149">
        <v>6</v>
      </c>
      <c r="N149">
        <v>18</v>
      </c>
      <c r="O149">
        <v>36</v>
      </c>
      <c r="P149">
        <v>3</v>
      </c>
      <c r="Q149">
        <v>0</v>
      </c>
      <c r="R149">
        <v>7</v>
      </c>
      <c r="S149">
        <v>0.25</v>
      </c>
      <c r="T149">
        <v>0.06</v>
      </c>
      <c r="U149">
        <v>1.4999999999999999E-2</v>
      </c>
      <c r="V149">
        <v>0.02</v>
      </c>
      <c r="W149">
        <v>1.4999999999999999E-2</v>
      </c>
      <c r="X149">
        <v>0.01</v>
      </c>
      <c r="AA149" t="s">
        <v>375</v>
      </c>
      <c r="AB149">
        <v>0.57075471698113212</v>
      </c>
      <c r="AC149">
        <v>1.1000000000000001</v>
      </c>
      <c r="AD149">
        <v>1.5877358490566038</v>
      </c>
      <c r="AE149">
        <v>2.2000000000000002</v>
      </c>
      <c r="AF149">
        <v>9.8584905660377355</v>
      </c>
      <c r="AG149">
        <v>42.132075471698116</v>
      </c>
      <c r="AH149">
        <v>73.783018867924511</v>
      </c>
      <c r="AI149">
        <v>121.41509433962264</v>
      </c>
      <c r="AM149" s="6">
        <v>45601</v>
      </c>
    </row>
    <row r="150" spans="1:39" x14ac:dyDescent="0.2">
      <c r="A150" t="s">
        <v>337</v>
      </c>
      <c r="B150" t="s">
        <v>551</v>
      </c>
      <c r="D150" t="s">
        <v>339</v>
      </c>
      <c r="E150" t="s">
        <v>339</v>
      </c>
      <c r="G150">
        <v>0</v>
      </c>
      <c r="H150" t="s">
        <v>523</v>
      </c>
      <c r="I150">
        <v>55</v>
      </c>
      <c r="K150">
        <v>10</v>
      </c>
      <c r="L150">
        <v>8</v>
      </c>
      <c r="M150">
        <v>18</v>
      </c>
      <c r="N150">
        <v>18</v>
      </c>
      <c r="O150">
        <v>18</v>
      </c>
      <c r="P150">
        <v>0</v>
      </c>
      <c r="Q150">
        <v>0</v>
      </c>
      <c r="R150">
        <v>0</v>
      </c>
      <c r="S150">
        <v>0.01</v>
      </c>
      <c r="T150">
        <v>0.05</v>
      </c>
      <c r="U150">
        <v>0.01</v>
      </c>
      <c r="V150">
        <v>0.02</v>
      </c>
      <c r="W150">
        <v>0.04</v>
      </c>
      <c r="X150">
        <v>2E-3</v>
      </c>
      <c r="Y150">
        <v>0</v>
      </c>
      <c r="AA150">
        <v>0</v>
      </c>
      <c r="AB150">
        <v>0.7</v>
      </c>
      <c r="AC150">
        <v>1.3</v>
      </c>
      <c r="AD150">
        <v>1.9</v>
      </c>
      <c r="AE150">
        <v>2.5</v>
      </c>
      <c r="AF150">
        <v>11</v>
      </c>
      <c r="AG150">
        <v>46</v>
      </c>
      <c r="AH150">
        <v>84</v>
      </c>
      <c r="AI150">
        <v>145</v>
      </c>
      <c r="AJ150">
        <v>0</v>
      </c>
      <c r="AM150" s="6">
        <v>45601</v>
      </c>
    </row>
    <row r="151" spans="1:39" x14ac:dyDescent="0.2">
      <c r="A151" t="s">
        <v>341</v>
      </c>
      <c r="B151" t="s">
        <v>552</v>
      </c>
      <c r="D151" t="s">
        <v>339</v>
      </c>
      <c r="F151" t="s">
        <v>339</v>
      </c>
      <c r="G151">
        <v>0</v>
      </c>
      <c r="H151" t="s">
        <v>523</v>
      </c>
      <c r="I151">
        <v>55</v>
      </c>
      <c r="K151">
        <v>10</v>
      </c>
      <c r="L151">
        <v>8</v>
      </c>
      <c r="M151">
        <v>18</v>
      </c>
      <c r="N151">
        <v>18</v>
      </c>
      <c r="O151">
        <v>18</v>
      </c>
      <c r="P151">
        <v>0</v>
      </c>
      <c r="Q151">
        <v>0</v>
      </c>
      <c r="AB151">
        <v>0.6</v>
      </c>
      <c r="AC151">
        <v>1.2</v>
      </c>
      <c r="AD151">
        <v>1.8</v>
      </c>
      <c r="AE151">
        <v>2.4</v>
      </c>
      <c r="AF151">
        <v>12</v>
      </c>
      <c r="AG151">
        <v>50</v>
      </c>
      <c r="AH151">
        <v>89</v>
      </c>
      <c r="AI151">
        <v>149</v>
      </c>
      <c r="AM151" s="6">
        <v>45601</v>
      </c>
    </row>
    <row r="152" spans="1:39" x14ac:dyDescent="0.2">
      <c r="A152" t="s">
        <v>372</v>
      </c>
      <c r="B152" t="s">
        <v>553</v>
      </c>
      <c r="D152" t="s">
        <v>339</v>
      </c>
      <c r="G152">
        <v>0</v>
      </c>
      <c r="H152" t="s">
        <v>454</v>
      </c>
      <c r="I152">
        <v>60</v>
      </c>
      <c r="K152">
        <v>10.8</v>
      </c>
      <c r="L152">
        <v>7.2</v>
      </c>
      <c r="M152">
        <v>18</v>
      </c>
      <c r="N152">
        <v>18</v>
      </c>
      <c r="O152">
        <v>18</v>
      </c>
      <c r="Q152">
        <v>0</v>
      </c>
      <c r="S152">
        <v>0.12</v>
      </c>
      <c r="T152">
        <v>0.04</v>
      </c>
      <c r="U152">
        <v>0.01</v>
      </c>
      <c r="V152">
        <v>0.01</v>
      </c>
      <c r="W152">
        <v>0.01</v>
      </c>
      <c r="X152">
        <v>1E-3</v>
      </c>
      <c r="AA152" t="s">
        <v>375</v>
      </c>
      <c r="AB152">
        <v>0.66272721918068467</v>
      </c>
      <c r="AC152">
        <v>1.3</v>
      </c>
      <c r="AD152">
        <v>1.9711391675665881</v>
      </c>
      <c r="AE152">
        <v>2.6764896288872446</v>
      </c>
      <c r="AF152">
        <v>12.58772596301019</v>
      </c>
      <c r="AG152">
        <v>53.545415718759273</v>
      </c>
      <c r="AH152">
        <v>94.528024488906226</v>
      </c>
      <c r="AI152">
        <v>158.21708202226426</v>
      </c>
      <c r="AM152" s="6">
        <v>45601</v>
      </c>
    </row>
    <row r="153" spans="1:39" x14ac:dyDescent="0.2">
      <c r="A153" t="s">
        <v>376</v>
      </c>
      <c r="B153" t="s">
        <v>554</v>
      </c>
      <c r="D153" t="s">
        <v>339</v>
      </c>
      <c r="E153" t="s">
        <v>339</v>
      </c>
      <c r="F153" t="s">
        <v>339</v>
      </c>
      <c r="G153">
        <v>0</v>
      </c>
      <c r="H153" t="s">
        <v>423</v>
      </c>
      <c r="I153">
        <v>54</v>
      </c>
      <c r="K153">
        <v>9.8000000000000007</v>
      </c>
      <c r="L153">
        <v>8.1999999999999975</v>
      </c>
      <c r="M153">
        <v>18</v>
      </c>
      <c r="N153">
        <v>18</v>
      </c>
      <c r="O153">
        <v>18</v>
      </c>
      <c r="Q153">
        <v>0</v>
      </c>
      <c r="S153">
        <v>0.14000000000000001</v>
      </c>
      <c r="T153">
        <v>0.08</v>
      </c>
      <c r="U153">
        <v>0.05</v>
      </c>
      <c r="V153">
        <v>0.05</v>
      </c>
      <c r="W153">
        <v>0.02</v>
      </c>
      <c r="X153">
        <v>8.0000000000000002E-3</v>
      </c>
      <c r="AB153">
        <v>0.7</v>
      </c>
      <c r="AC153">
        <v>1.3</v>
      </c>
      <c r="AD153">
        <v>1.9</v>
      </c>
      <c r="AE153">
        <v>2.5</v>
      </c>
      <c r="AF153">
        <v>11.2</v>
      </c>
      <c r="AG153">
        <v>47.7</v>
      </c>
      <c r="AH153">
        <v>86</v>
      </c>
      <c r="AI153">
        <v>135</v>
      </c>
      <c r="AM153" s="6">
        <v>45601</v>
      </c>
    </row>
    <row r="154" spans="1:39" x14ac:dyDescent="0.2">
      <c r="A154" t="s">
        <v>366</v>
      </c>
      <c r="B154" t="s">
        <v>555</v>
      </c>
      <c r="D154" t="s">
        <v>339</v>
      </c>
      <c r="E154" t="s">
        <v>339</v>
      </c>
      <c r="G154">
        <v>0</v>
      </c>
      <c r="H154" t="s">
        <v>361</v>
      </c>
      <c r="I154">
        <v>100</v>
      </c>
      <c r="K154">
        <v>3.1</v>
      </c>
      <c r="M154">
        <v>3.1</v>
      </c>
      <c r="N154">
        <v>19</v>
      </c>
      <c r="O154">
        <v>35.299999999999997</v>
      </c>
      <c r="P154">
        <v>5</v>
      </c>
      <c r="Q154">
        <v>0</v>
      </c>
      <c r="R154">
        <v>25.1</v>
      </c>
      <c r="S154">
        <v>0.17</v>
      </c>
      <c r="T154">
        <v>5.1999999999999998E-2</v>
      </c>
      <c r="U154">
        <v>1.0999999999999998E-2</v>
      </c>
      <c r="V154">
        <v>4.3200000000000002E-2</v>
      </c>
      <c r="W154">
        <v>1.0999999999999998E-2</v>
      </c>
      <c r="X154">
        <v>4.7999999999999996E-3</v>
      </c>
      <c r="AB154">
        <v>0.5</v>
      </c>
      <c r="AC154">
        <v>1.2</v>
      </c>
      <c r="AD154">
        <v>1.7</v>
      </c>
      <c r="AE154">
        <v>2.2999999999999998</v>
      </c>
      <c r="AF154">
        <v>10</v>
      </c>
      <c r="AG154">
        <v>41</v>
      </c>
      <c r="AH154">
        <v>72</v>
      </c>
      <c r="AI154">
        <v>119</v>
      </c>
      <c r="AM154" s="6">
        <v>45601</v>
      </c>
    </row>
    <row r="155" spans="1:39" x14ac:dyDescent="0.2">
      <c r="A155" t="s">
        <v>372</v>
      </c>
      <c r="B155" t="s">
        <v>556</v>
      </c>
      <c r="D155" t="s">
        <v>339</v>
      </c>
      <c r="G155">
        <v>0</v>
      </c>
      <c r="H155" t="s">
        <v>361</v>
      </c>
      <c r="I155">
        <v>100</v>
      </c>
      <c r="K155">
        <v>4</v>
      </c>
      <c r="M155">
        <v>4</v>
      </c>
      <c r="N155">
        <v>19</v>
      </c>
      <c r="O155">
        <v>35</v>
      </c>
      <c r="P155">
        <v>4.0999999999999996</v>
      </c>
      <c r="Q155">
        <v>0</v>
      </c>
      <c r="R155">
        <v>18</v>
      </c>
      <c r="S155">
        <v>0.12</v>
      </c>
      <c r="T155">
        <v>0.08</v>
      </c>
      <c r="U155">
        <v>0.02</v>
      </c>
      <c r="V155">
        <v>0.02</v>
      </c>
      <c r="W155">
        <v>0.02</v>
      </c>
      <c r="X155">
        <v>2E-3</v>
      </c>
      <c r="AA155" t="s">
        <v>375</v>
      </c>
      <c r="AB155">
        <v>0.61174820232063198</v>
      </c>
      <c r="AC155">
        <v>1.2</v>
      </c>
      <c r="AD155">
        <v>1.8195130777537727</v>
      </c>
      <c r="AE155">
        <v>2.4706058112805342</v>
      </c>
      <c r="AF155">
        <v>11.619439350470945</v>
      </c>
      <c r="AG155">
        <v>49.426537586547006</v>
      </c>
      <c r="AH155">
        <v>87.256637989759597</v>
      </c>
      <c r="AI155">
        <v>146.04653725132084</v>
      </c>
      <c r="AM155" s="6">
        <v>45601</v>
      </c>
    </row>
    <row r="156" spans="1:39" x14ac:dyDescent="0.2">
      <c r="A156" t="s">
        <v>372</v>
      </c>
      <c r="B156" t="s">
        <v>557</v>
      </c>
      <c r="D156" t="s">
        <v>339</v>
      </c>
      <c r="G156">
        <v>11.1</v>
      </c>
      <c r="H156" t="s">
        <v>496</v>
      </c>
      <c r="I156">
        <v>61</v>
      </c>
      <c r="K156">
        <v>5.5</v>
      </c>
      <c r="L156">
        <v>3.4</v>
      </c>
      <c r="M156">
        <v>20</v>
      </c>
      <c r="N156">
        <v>19</v>
      </c>
      <c r="O156">
        <v>20</v>
      </c>
      <c r="Q156">
        <v>0</v>
      </c>
      <c r="R156">
        <v>0.5</v>
      </c>
      <c r="S156">
        <v>0.12</v>
      </c>
      <c r="T156">
        <v>0.06</v>
      </c>
      <c r="U156">
        <v>1.4999999999999999E-2</v>
      </c>
      <c r="W156">
        <v>1.4999999999999999E-2</v>
      </c>
      <c r="X156">
        <v>0.01</v>
      </c>
      <c r="AA156" t="s">
        <v>375</v>
      </c>
      <c r="AB156">
        <v>0.46244780392327489</v>
      </c>
      <c r="AC156">
        <v>0.9</v>
      </c>
      <c r="AD156">
        <v>1.3907134895117983</v>
      </c>
      <c r="AE156">
        <v>1.8338269011071919</v>
      </c>
      <c r="AF156">
        <v>8.3555275949587848</v>
      </c>
      <c r="AG156">
        <v>36.781096747957513</v>
      </c>
      <c r="AH156">
        <v>64.980518694834771</v>
      </c>
      <c r="AI156">
        <v>108.27668321288864</v>
      </c>
      <c r="AM156" s="6">
        <v>45601</v>
      </c>
    </row>
    <row r="157" spans="1:39" x14ac:dyDescent="0.2">
      <c r="A157" t="s">
        <v>359</v>
      </c>
      <c r="B157" t="s">
        <v>558</v>
      </c>
      <c r="D157" t="s">
        <v>339</v>
      </c>
      <c r="E157" t="s">
        <v>339</v>
      </c>
      <c r="F157" t="s">
        <v>339</v>
      </c>
      <c r="G157">
        <v>0</v>
      </c>
      <c r="H157" t="s">
        <v>559</v>
      </c>
      <c r="I157">
        <v>80</v>
      </c>
      <c r="K157">
        <v>4</v>
      </c>
      <c r="L157">
        <v>1</v>
      </c>
      <c r="M157">
        <v>5</v>
      </c>
      <c r="N157">
        <v>20</v>
      </c>
      <c r="O157">
        <v>30</v>
      </c>
      <c r="P157">
        <v>5</v>
      </c>
      <c r="Q157">
        <v>0</v>
      </c>
      <c r="R157">
        <v>18</v>
      </c>
      <c r="S157">
        <v>0.2</v>
      </c>
      <c r="T157">
        <v>0.05</v>
      </c>
      <c r="U157">
        <v>1.4999999999999999E-2</v>
      </c>
      <c r="V157">
        <v>0.01</v>
      </c>
      <c r="W157">
        <v>0.02</v>
      </c>
      <c r="X157">
        <v>1E-3</v>
      </c>
      <c r="AB157">
        <v>0.61</v>
      </c>
      <c r="AC157">
        <v>1.1499999999999999</v>
      </c>
      <c r="AD157">
        <v>1.6799999999999997</v>
      </c>
      <c r="AE157">
        <v>2.19</v>
      </c>
      <c r="AF157">
        <v>9.3000000000000007</v>
      </c>
      <c r="AG157">
        <v>37.799999999999997</v>
      </c>
      <c r="AH157">
        <v>64.8</v>
      </c>
      <c r="AI157">
        <v>100.5</v>
      </c>
      <c r="AM157" s="6">
        <v>45601</v>
      </c>
    </row>
    <row r="158" spans="1:39" x14ac:dyDescent="0.2">
      <c r="A158" t="s">
        <v>337</v>
      </c>
      <c r="B158" t="s">
        <v>560</v>
      </c>
      <c r="D158" t="s">
        <v>339</v>
      </c>
      <c r="E158" t="s">
        <v>339</v>
      </c>
      <c r="G158">
        <v>0</v>
      </c>
      <c r="H158" t="s">
        <v>419</v>
      </c>
      <c r="I158">
        <v>59</v>
      </c>
      <c r="K158">
        <v>5.9</v>
      </c>
      <c r="L158">
        <v>4.0999999999999996</v>
      </c>
      <c r="M158">
        <v>10</v>
      </c>
      <c r="N158">
        <v>20</v>
      </c>
      <c r="O158">
        <v>30</v>
      </c>
      <c r="P158">
        <v>0</v>
      </c>
      <c r="Q158">
        <v>0</v>
      </c>
      <c r="R158">
        <v>11.4</v>
      </c>
      <c r="S158">
        <v>0.1</v>
      </c>
      <c r="T158">
        <v>0.05</v>
      </c>
      <c r="U158">
        <v>0.02</v>
      </c>
      <c r="V158">
        <v>0.02</v>
      </c>
      <c r="W158">
        <v>0.05</v>
      </c>
      <c r="X158">
        <v>1E-3</v>
      </c>
      <c r="Y158">
        <v>0</v>
      </c>
      <c r="AA158">
        <v>0</v>
      </c>
      <c r="AB158">
        <v>0.7</v>
      </c>
      <c r="AC158">
        <v>1.3</v>
      </c>
      <c r="AD158">
        <v>1.9</v>
      </c>
      <c r="AE158">
        <v>2.4</v>
      </c>
      <c r="AG158">
        <v>43</v>
      </c>
      <c r="AH158">
        <v>77</v>
      </c>
      <c r="AJ158">
        <v>0</v>
      </c>
      <c r="AM158" s="6">
        <v>45601</v>
      </c>
    </row>
    <row r="159" spans="1:39" x14ac:dyDescent="0.2">
      <c r="A159" t="s">
        <v>337</v>
      </c>
      <c r="B159" t="s">
        <v>561</v>
      </c>
      <c r="D159" t="s">
        <v>339</v>
      </c>
      <c r="E159" t="s">
        <v>339</v>
      </c>
      <c r="G159">
        <v>0</v>
      </c>
      <c r="H159" t="s">
        <v>483</v>
      </c>
      <c r="I159">
        <v>74</v>
      </c>
      <c r="K159">
        <v>7.4</v>
      </c>
      <c r="L159">
        <v>2.6</v>
      </c>
      <c r="M159">
        <v>10</v>
      </c>
      <c r="N159">
        <v>20</v>
      </c>
      <c r="O159">
        <v>30</v>
      </c>
      <c r="P159">
        <v>2.7</v>
      </c>
      <c r="Q159">
        <v>0</v>
      </c>
      <c r="R159">
        <v>6.6</v>
      </c>
      <c r="S159">
        <v>0.01</v>
      </c>
      <c r="T159">
        <v>0.05</v>
      </c>
      <c r="U159">
        <v>0.01</v>
      </c>
      <c r="V159">
        <v>0.02</v>
      </c>
      <c r="W159">
        <v>0.04</v>
      </c>
      <c r="X159">
        <v>2E-3</v>
      </c>
      <c r="Y159">
        <v>0</v>
      </c>
      <c r="AA159">
        <v>0</v>
      </c>
      <c r="AB159">
        <v>0.6</v>
      </c>
      <c r="AC159">
        <v>1.2</v>
      </c>
      <c r="AD159">
        <v>1.8</v>
      </c>
      <c r="AE159">
        <v>2.4</v>
      </c>
      <c r="AF159">
        <v>10</v>
      </c>
      <c r="AG159">
        <v>41</v>
      </c>
      <c r="AH159">
        <v>73</v>
      </c>
      <c r="AI159">
        <v>122</v>
      </c>
      <c r="AJ159">
        <v>0</v>
      </c>
      <c r="AM159" s="6">
        <v>45601</v>
      </c>
    </row>
    <row r="160" spans="1:39" x14ac:dyDescent="0.2">
      <c r="A160" t="s">
        <v>337</v>
      </c>
      <c r="B160" t="s">
        <v>562</v>
      </c>
      <c r="D160" t="s">
        <v>339</v>
      </c>
      <c r="E160" t="s">
        <v>339</v>
      </c>
      <c r="G160">
        <v>0</v>
      </c>
      <c r="H160" t="s">
        <v>559</v>
      </c>
      <c r="I160">
        <v>80</v>
      </c>
      <c r="K160">
        <v>4</v>
      </c>
      <c r="L160">
        <v>1</v>
      </c>
      <c r="M160">
        <v>5</v>
      </c>
      <c r="N160">
        <v>20</v>
      </c>
      <c r="O160">
        <v>30</v>
      </c>
      <c r="P160">
        <v>5</v>
      </c>
      <c r="Q160">
        <v>0</v>
      </c>
      <c r="R160">
        <v>6.5</v>
      </c>
      <c r="S160">
        <v>0.4</v>
      </c>
      <c r="T160">
        <v>0.08</v>
      </c>
      <c r="U160">
        <v>0.01</v>
      </c>
      <c r="V160">
        <v>3.5000000000000003E-2</v>
      </c>
      <c r="W160">
        <v>6.0000000000000001E-3</v>
      </c>
      <c r="X160">
        <v>1.2E-2</v>
      </c>
      <c r="Y160">
        <v>0</v>
      </c>
      <c r="AA160">
        <v>0</v>
      </c>
      <c r="AB160">
        <v>0.5</v>
      </c>
      <c r="AC160">
        <v>1.1000000000000001</v>
      </c>
      <c r="AD160">
        <v>1.6</v>
      </c>
      <c r="AE160">
        <v>2.2000000000000002</v>
      </c>
      <c r="AF160">
        <v>9</v>
      </c>
      <c r="AG160">
        <v>36</v>
      </c>
      <c r="AH160">
        <v>60</v>
      </c>
      <c r="AI160">
        <v>100</v>
      </c>
      <c r="AJ160">
        <v>0</v>
      </c>
      <c r="AM160" s="6">
        <v>45601</v>
      </c>
    </row>
    <row r="161" spans="1:39" x14ac:dyDescent="0.2">
      <c r="A161" t="s">
        <v>341</v>
      </c>
      <c r="B161" t="s">
        <v>563</v>
      </c>
      <c r="G161">
        <v>0</v>
      </c>
      <c r="H161" t="s">
        <v>483</v>
      </c>
      <c r="I161">
        <v>74</v>
      </c>
      <c r="K161">
        <v>7.4</v>
      </c>
      <c r="L161">
        <v>2.6</v>
      </c>
      <c r="M161">
        <v>10</v>
      </c>
      <c r="N161">
        <v>20</v>
      </c>
      <c r="O161">
        <v>30</v>
      </c>
      <c r="P161">
        <v>2.7</v>
      </c>
      <c r="Q161">
        <v>0</v>
      </c>
      <c r="AB161">
        <v>0.6</v>
      </c>
      <c r="AC161">
        <v>1.1000000000000001</v>
      </c>
      <c r="AD161">
        <v>1.7</v>
      </c>
      <c r="AE161">
        <v>2.2000000000000002</v>
      </c>
      <c r="AF161">
        <v>9</v>
      </c>
      <c r="AG161">
        <v>39</v>
      </c>
      <c r="AH161">
        <v>70</v>
      </c>
      <c r="AI161">
        <v>118</v>
      </c>
      <c r="AM161" s="6">
        <v>45601</v>
      </c>
    </row>
    <row r="162" spans="1:39" x14ac:dyDescent="0.2">
      <c r="A162" t="s">
        <v>341</v>
      </c>
      <c r="B162" t="s">
        <v>564</v>
      </c>
      <c r="D162" t="s">
        <v>339</v>
      </c>
      <c r="F162" t="s">
        <v>339</v>
      </c>
      <c r="G162">
        <v>0</v>
      </c>
      <c r="H162" t="s">
        <v>559</v>
      </c>
      <c r="I162">
        <v>80</v>
      </c>
      <c r="K162">
        <v>4</v>
      </c>
      <c r="L162">
        <v>1</v>
      </c>
      <c r="M162">
        <v>5</v>
      </c>
      <c r="N162">
        <v>20</v>
      </c>
      <c r="O162">
        <v>30</v>
      </c>
      <c r="P162">
        <v>5</v>
      </c>
      <c r="Q162">
        <v>0</v>
      </c>
      <c r="T162">
        <v>0.2</v>
      </c>
      <c r="U162">
        <v>7.0000000000000007E-2</v>
      </c>
      <c r="V162">
        <v>3.5000000000000003E-2</v>
      </c>
      <c r="W162">
        <v>7.0000000000000007E-2</v>
      </c>
      <c r="X162">
        <v>3.0000000000000001E-3</v>
      </c>
      <c r="AB162">
        <v>0.5</v>
      </c>
      <c r="AC162">
        <v>1.1000000000000001</v>
      </c>
      <c r="AD162">
        <v>1.6</v>
      </c>
      <c r="AE162">
        <v>2.1</v>
      </c>
      <c r="AF162">
        <v>9</v>
      </c>
      <c r="AG162">
        <v>36</v>
      </c>
      <c r="AH162">
        <v>63</v>
      </c>
      <c r="AI162">
        <v>105</v>
      </c>
      <c r="AM162" s="6">
        <v>45601</v>
      </c>
    </row>
    <row r="163" spans="1:39" x14ac:dyDescent="0.2">
      <c r="A163" t="s">
        <v>366</v>
      </c>
      <c r="B163" t="s">
        <v>565</v>
      </c>
      <c r="D163" t="s">
        <v>339</v>
      </c>
      <c r="E163" t="s">
        <v>339</v>
      </c>
      <c r="F163" t="s">
        <v>339</v>
      </c>
      <c r="G163">
        <v>0</v>
      </c>
      <c r="H163" t="s">
        <v>434</v>
      </c>
      <c r="I163">
        <v>0</v>
      </c>
      <c r="L163">
        <v>5</v>
      </c>
      <c r="M163">
        <v>5</v>
      </c>
      <c r="N163">
        <v>20</v>
      </c>
      <c r="O163">
        <v>5</v>
      </c>
      <c r="Q163">
        <v>0</v>
      </c>
      <c r="S163">
        <v>0.02</v>
      </c>
      <c r="T163">
        <v>1.2E-2</v>
      </c>
      <c r="U163">
        <v>4.0000000000000001E-3</v>
      </c>
      <c r="V163">
        <v>0.01</v>
      </c>
      <c r="W163">
        <v>4.0000000000000001E-3</v>
      </c>
      <c r="X163">
        <v>1E-3</v>
      </c>
      <c r="AA163">
        <v>1.28</v>
      </c>
      <c r="AB163">
        <v>0.3</v>
      </c>
      <c r="AC163">
        <v>0.55000000000000004</v>
      </c>
      <c r="AD163">
        <v>0.81000000000000016</v>
      </c>
      <c r="AE163">
        <v>1.05</v>
      </c>
      <c r="AH163">
        <v>38</v>
      </c>
      <c r="AM163" s="6">
        <v>45601</v>
      </c>
    </row>
    <row r="164" spans="1:39" x14ac:dyDescent="0.2">
      <c r="A164" t="s">
        <v>337</v>
      </c>
      <c r="B164" t="s">
        <v>566</v>
      </c>
      <c r="D164" t="s">
        <v>339</v>
      </c>
      <c r="E164" t="s">
        <v>339</v>
      </c>
      <c r="G164">
        <v>10.199999999999999</v>
      </c>
      <c r="H164" t="s">
        <v>419</v>
      </c>
      <c r="I164">
        <v>59</v>
      </c>
      <c r="K164">
        <v>5.8</v>
      </c>
      <c r="L164">
        <v>4</v>
      </c>
      <c r="M164">
        <v>20</v>
      </c>
      <c r="N164">
        <v>20</v>
      </c>
      <c r="O164">
        <v>20</v>
      </c>
      <c r="P164">
        <v>0</v>
      </c>
      <c r="Q164">
        <v>0</v>
      </c>
      <c r="R164">
        <v>0</v>
      </c>
      <c r="S164">
        <v>0.1</v>
      </c>
      <c r="T164">
        <v>0.05</v>
      </c>
      <c r="U164">
        <v>0.02</v>
      </c>
      <c r="V164">
        <v>0.02</v>
      </c>
      <c r="W164">
        <v>0.05</v>
      </c>
      <c r="X164">
        <v>1E-3</v>
      </c>
      <c r="Y164">
        <v>0</v>
      </c>
      <c r="AA164">
        <v>0</v>
      </c>
      <c r="AB164">
        <v>0.5</v>
      </c>
      <c r="AC164">
        <v>0.9</v>
      </c>
      <c r="AD164">
        <v>1.4</v>
      </c>
      <c r="AE164">
        <v>1.8</v>
      </c>
      <c r="AG164">
        <v>33</v>
      </c>
      <c r="AH164">
        <v>59</v>
      </c>
      <c r="AI164">
        <v>98</v>
      </c>
      <c r="AJ164">
        <v>0</v>
      </c>
      <c r="AM164" s="6">
        <v>45601</v>
      </c>
    </row>
    <row r="165" spans="1:39" x14ac:dyDescent="0.2">
      <c r="A165" t="s">
        <v>372</v>
      </c>
      <c r="B165" t="s">
        <v>567</v>
      </c>
      <c r="D165" t="s">
        <v>339</v>
      </c>
      <c r="G165">
        <v>13.1</v>
      </c>
      <c r="H165" t="s">
        <v>464</v>
      </c>
      <c r="I165">
        <v>65</v>
      </c>
      <c r="K165">
        <v>4.5</v>
      </c>
      <c r="L165">
        <v>2.4</v>
      </c>
      <c r="M165">
        <v>20</v>
      </c>
      <c r="N165">
        <v>20</v>
      </c>
      <c r="O165">
        <v>20</v>
      </c>
      <c r="Q165">
        <v>0</v>
      </c>
      <c r="R165">
        <v>1.4</v>
      </c>
      <c r="S165">
        <v>0.12</v>
      </c>
      <c r="T165">
        <v>0.06</v>
      </c>
      <c r="U165">
        <v>1.4999999999999999E-2</v>
      </c>
      <c r="V165">
        <v>0.02</v>
      </c>
      <c r="W165">
        <v>1.4999999999999999E-2</v>
      </c>
      <c r="X165">
        <v>0.01</v>
      </c>
      <c r="AA165" t="s">
        <v>375</v>
      </c>
      <c r="AB165">
        <v>0.40404040404040409</v>
      </c>
      <c r="AC165">
        <v>0.8</v>
      </c>
      <c r="AD165">
        <v>1.1797979797979798</v>
      </c>
      <c r="AE165">
        <v>1.6646464646464647</v>
      </c>
      <c r="AF165">
        <v>7.5151515151515138</v>
      </c>
      <c r="AG165">
        <v>33.535353535353536</v>
      </c>
      <c r="AH165">
        <v>60.363636363636367</v>
      </c>
      <c r="AI165">
        <v>103.43434343434345</v>
      </c>
      <c r="AM165" s="6">
        <v>45601</v>
      </c>
    </row>
    <row r="166" spans="1:39" x14ac:dyDescent="0.2">
      <c r="A166" t="s">
        <v>372</v>
      </c>
      <c r="B166" t="s">
        <v>568</v>
      </c>
      <c r="D166" t="s">
        <v>339</v>
      </c>
      <c r="G166">
        <v>10.1</v>
      </c>
      <c r="H166" t="s">
        <v>454</v>
      </c>
      <c r="I166">
        <v>60</v>
      </c>
      <c r="K166">
        <v>6</v>
      </c>
      <c r="L166">
        <v>3.9</v>
      </c>
      <c r="M166">
        <v>20</v>
      </c>
      <c r="N166">
        <v>20</v>
      </c>
      <c r="O166">
        <v>20</v>
      </c>
      <c r="Q166">
        <v>0</v>
      </c>
      <c r="S166">
        <v>0.12</v>
      </c>
      <c r="T166">
        <v>0.06</v>
      </c>
      <c r="U166">
        <v>1.4999999999999999E-2</v>
      </c>
      <c r="V166">
        <v>0.02</v>
      </c>
      <c r="W166">
        <v>1.4999999999999999E-2</v>
      </c>
      <c r="X166">
        <v>0.01</v>
      </c>
      <c r="AA166" t="s">
        <v>375</v>
      </c>
      <c r="AB166">
        <v>0.46244780392327489</v>
      </c>
      <c r="AC166">
        <v>0.9</v>
      </c>
      <c r="AD166">
        <v>1.3907134895117983</v>
      </c>
      <c r="AE166">
        <v>1.8338269011071919</v>
      </c>
      <c r="AF166">
        <v>8.3555275949587848</v>
      </c>
      <c r="AG166">
        <v>36.781096747957513</v>
      </c>
      <c r="AH166">
        <v>64.980518694834771</v>
      </c>
      <c r="AI166">
        <v>108.27668321288864</v>
      </c>
      <c r="AM166" s="6">
        <v>45601</v>
      </c>
    </row>
    <row r="167" spans="1:39" x14ac:dyDescent="0.2">
      <c r="A167" t="s">
        <v>372</v>
      </c>
      <c r="B167" t="s">
        <v>569</v>
      </c>
      <c r="D167" t="s">
        <v>339</v>
      </c>
      <c r="G167">
        <v>0</v>
      </c>
      <c r="H167" t="s">
        <v>361</v>
      </c>
      <c r="I167">
        <v>100</v>
      </c>
      <c r="K167">
        <v>5.7</v>
      </c>
      <c r="M167">
        <v>6</v>
      </c>
      <c r="N167">
        <v>21</v>
      </c>
      <c r="O167">
        <v>35</v>
      </c>
      <c r="P167">
        <v>2</v>
      </c>
      <c r="Q167">
        <v>0</v>
      </c>
      <c r="S167">
        <v>0.12</v>
      </c>
      <c r="T167">
        <v>0.04</v>
      </c>
      <c r="U167">
        <v>0.01</v>
      </c>
      <c r="V167">
        <v>0.01</v>
      </c>
      <c r="W167">
        <v>0.01</v>
      </c>
      <c r="X167">
        <v>1E-3</v>
      </c>
      <c r="AA167" t="s">
        <v>375</v>
      </c>
      <c r="AB167">
        <v>0.50979016860052651</v>
      </c>
      <c r="AC167">
        <v>1</v>
      </c>
      <c r="AD167">
        <v>1.5162608981281447</v>
      </c>
      <c r="AE167">
        <v>2.0588381760671122</v>
      </c>
      <c r="AF167">
        <v>9.6828661253924508</v>
      </c>
      <c r="AG167">
        <v>41.188781322122495</v>
      </c>
      <c r="AH167">
        <v>72.713864991466323</v>
      </c>
      <c r="AI167">
        <v>121.70544770943404</v>
      </c>
      <c r="AM167" s="6">
        <v>45601</v>
      </c>
    </row>
    <row r="168" spans="1:39" x14ac:dyDescent="0.2">
      <c r="A168" t="s">
        <v>376</v>
      </c>
      <c r="B168" t="s">
        <v>570</v>
      </c>
      <c r="D168" t="s">
        <v>339</v>
      </c>
      <c r="E168" t="s">
        <v>339</v>
      </c>
      <c r="F168" t="s">
        <v>339</v>
      </c>
      <c r="G168">
        <v>9</v>
      </c>
      <c r="H168" t="s">
        <v>571</v>
      </c>
      <c r="I168">
        <v>32</v>
      </c>
      <c r="K168">
        <v>8</v>
      </c>
      <c r="L168">
        <v>17</v>
      </c>
      <c r="M168">
        <v>6</v>
      </c>
      <c r="N168">
        <v>25</v>
      </c>
      <c r="Q168">
        <v>0</v>
      </c>
      <c r="R168">
        <v>15</v>
      </c>
      <c r="S168">
        <v>7.0000000000000007E-2</v>
      </c>
      <c r="T168">
        <v>0.04</v>
      </c>
      <c r="U168">
        <v>2.5000000000000001E-2</v>
      </c>
      <c r="V168">
        <v>2.5000000000000001E-2</v>
      </c>
      <c r="W168">
        <v>0.01</v>
      </c>
      <c r="X168">
        <v>4.0000000000000001E-3</v>
      </c>
      <c r="AB168">
        <v>0.7</v>
      </c>
      <c r="AC168">
        <v>1.2</v>
      </c>
      <c r="AD168">
        <v>1.8</v>
      </c>
      <c r="AE168">
        <v>2.4</v>
      </c>
      <c r="AF168">
        <v>11</v>
      </c>
      <c r="AG168">
        <v>40</v>
      </c>
      <c r="AH168">
        <v>75</v>
      </c>
      <c r="AI168">
        <v>120</v>
      </c>
      <c r="AM168" s="6">
        <v>45601</v>
      </c>
    </row>
    <row r="169" spans="1:39" x14ac:dyDescent="0.2">
      <c r="A169" t="s">
        <v>337</v>
      </c>
      <c r="B169" t="s">
        <v>572</v>
      </c>
      <c r="D169" t="s">
        <v>339</v>
      </c>
      <c r="E169" t="s">
        <v>339</v>
      </c>
      <c r="G169">
        <v>0</v>
      </c>
      <c r="H169" t="s">
        <v>407</v>
      </c>
      <c r="I169">
        <v>35</v>
      </c>
      <c r="K169">
        <v>3.5</v>
      </c>
      <c r="L169">
        <v>6.5</v>
      </c>
      <c r="M169">
        <v>10</v>
      </c>
      <c r="N169">
        <v>30</v>
      </c>
      <c r="O169">
        <v>20</v>
      </c>
      <c r="P169">
        <v>1</v>
      </c>
      <c r="Q169">
        <v>0</v>
      </c>
      <c r="R169">
        <v>13.2</v>
      </c>
      <c r="S169">
        <v>0.1</v>
      </c>
      <c r="T169">
        <v>0.05</v>
      </c>
      <c r="U169">
        <v>0.02</v>
      </c>
      <c r="V169">
        <v>0.02</v>
      </c>
      <c r="W169">
        <v>0.05</v>
      </c>
      <c r="X169">
        <v>1E-3</v>
      </c>
      <c r="Y169">
        <v>0</v>
      </c>
      <c r="AA169">
        <v>0</v>
      </c>
      <c r="AB169">
        <v>0.6</v>
      </c>
      <c r="AC169">
        <v>1.2</v>
      </c>
      <c r="AD169">
        <v>1.7</v>
      </c>
      <c r="AE169">
        <v>2.2000000000000002</v>
      </c>
      <c r="AG169">
        <v>39</v>
      </c>
      <c r="AH169">
        <v>69</v>
      </c>
      <c r="AJ169">
        <v>0</v>
      </c>
      <c r="AM169" s="6">
        <v>45601</v>
      </c>
    </row>
    <row r="170" spans="1:39" x14ac:dyDescent="0.2">
      <c r="A170" t="s">
        <v>372</v>
      </c>
      <c r="B170" t="s">
        <v>573</v>
      </c>
      <c r="D170" t="s">
        <v>339</v>
      </c>
      <c r="G170">
        <v>0</v>
      </c>
      <c r="H170" t="s">
        <v>365</v>
      </c>
      <c r="I170">
        <v>52</v>
      </c>
      <c r="K170">
        <v>5.2</v>
      </c>
      <c r="L170">
        <v>4.8</v>
      </c>
      <c r="M170">
        <v>10</v>
      </c>
      <c r="N170">
        <v>30</v>
      </c>
      <c r="O170">
        <v>20</v>
      </c>
      <c r="P170">
        <v>2</v>
      </c>
      <c r="Q170">
        <v>0</v>
      </c>
      <c r="R170">
        <v>4</v>
      </c>
      <c r="S170">
        <v>0.12</v>
      </c>
      <c r="T170">
        <v>0.06</v>
      </c>
      <c r="U170">
        <v>1.4999999999999999E-2</v>
      </c>
      <c r="V170">
        <v>0.02</v>
      </c>
      <c r="W170">
        <v>1.4999999999999999E-2</v>
      </c>
      <c r="X170">
        <v>0.01</v>
      </c>
      <c r="AA170" t="s">
        <v>375</v>
      </c>
      <c r="AB170">
        <v>0.51485148514851486</v>
      </c>
      <c r="AC170">
        <v>1</v>
      </c>
      <c r="AD170">
        <v>1.5544554455445545</v>
      </c>
      <c r="AE170">
        <v>2.0297029702970297</v>
      </c>
      <c r="AF170">
        <v>9.2079207920792072</v>
      </c>
      <c r="AG170">
        <v>39.702970297029687</v>
      </c>
      <c r="AH170">
        <v>69.306930693069305</v>
      </c>
      <c r="AI170">
        <v>112.87128712871286</v>
      </c>
      <c r="AM170" s="6">
        <v>45601</v>
      </c>
    </row>
    <row r="171" spans="1:39" x14ac:dyDescent="0.2">
      <c r="A171" t="s">
        <v>337</v>
      </c>
      <c r="B171" t="s">
        <v>574</v>
      </c>
      <c r="D171" t="s">
        <v>339</v>
      </c>
      <c r="E171" t="s">
        <v>339</v>
      </c>
      <c r="G171">
        <v>0</v>
      </c>
      <c r="H171" t="s">
        <v>451</v>
      </c>
      <c r="I171">
        <v>44</v>
      </c>
      <c r="K171">
        <v>6.7</v>
      </c>
      <c r="L171">
        <v>8.3000000000000007</v>
      </c>
      <c r="M171">
        <v>15</v>
      </c>
      <c r="N171">
        <v>30</v>
      </c>
      <c r="O171">
        <v>15</v>
      </c>
      <c r="P171">
        <v>0</v>
      </c>
      <c r="Q171">
        <v>0</v>
      </c>
      <c r="R171">
        <v>1.8</v>
      </c>
      <c r="S171">
        <v>0.1</v>
      </c>
      <c r="T171">
        <v>0.05</v>
      </c>
      <c r="U171">
        <v>0.02</v>
      </c>
      <c r="V171">
        <v>0.02</v>
      </c>
      <c r="W171">
        <v>0.05</v>
      </c>
      <c r="X171">
        <v>1E-3</v>
      </c>
      <c r="Y171">
        <v>0</v>
      </c>
      <c r="AA171">
        <v>0</v>
      </c>
      <c r="AB171">
        <v>0.6</v>
      </c>
      <c r="AC171">
        <v>1.1000000000000001</v>
      </c>
      <c r="AD171">
        <v>1.7</v>
      </c>
      <c r="AE171">
        <v>2.2000000000000002</v>
      </c>
      <c r="AG171">
        <v>39</v>
      </c>
      <c r="AH171">
        <v>69</v>
      </c>
      <c r="AJ171">
        <v>0</v>
      </c>
      <c r="AM171" s="6">
        <v>45601</v>
      </c>
    </row>
    <row r="172" spans="1:39" x14ac:dyDescent="0.2">
      <c r="A172" t="s">
        <v>372</v>
      </c>
      <c r="B172" t="s">
        <v>575</v>
      </c>
      <c r="D172" t="s">
        <v>339</v>
      </c>
      <c r="G172">
        <v>0</v>
      </c>
      <c r="H172" t="s">
        <v>494</v>
      </c>
      <c r="I172">
        <v>25</v>
      </c>
      <c r="K172">
        <v>3.1</v>
      </c>
      <c r="L172">
        <v>8.9</v>
      </c>
      <c r="M172">
        <v>12</v>
      </c>
      <c r="N172">
        <v>30</v>
      </c>
      <c r="O172">
        <v>12</v>
      </c>
      <c r="P172">
        <v>2.2000000000000002</v>
      </c>
      <c r="Q172">
        <v>0</v>
      </c>
      <c r="R172">
        <v>15</v>
      </c>
      <c r="S172">
        <v>0.1</v>
      </c>
      <c r="T172">
        <v>0.04</v>
      </c>
      <c r="U172">
        <v>0.01</v>
      </c>
      <c r="V172">
        <v>0.01</v>
      </c>
      <c r="W172">
        <v>0.01</v>
      </c>
      <c r="X172">
        <v>1E-3</v>
      </c>
      <c r="AA172" t="s">
        <v>375</v>
      </c>
      <c r="AB172">
        <v>0.61174820232063198</v>
      </c>
      <c r="AC172">
        <v>1.2</v>
      </c>
      <c r="AD172">
        <v>1.8195130777537727</v>
      </c>
      <c r="AE172">
        <v>2.4706058112805342</v>
      </c>
      <c r="AF172">
        <v>11.619439350470945</v>
      </c>
      <c r="AG172">
        <v>49.426537586547006</v>
      </c>
      <c r="AH172">
        <v>87.256637989759597</v>
      </c>
      <c r="AI172">
        <v>146.04653725132084</v>
      </c>
      <c r="AM172" s="6">
        <v>45601</v>
      </c>
    </row>
    <row r="173" spans="1:39" x14ac:dyDescent="0.2">
      <c r="A173" t="s">
        <v>359</v>
      </c>
      <c r="B173" t="s">
        <v>576</v>
      </c>
      <c r="D173" t="s">
        <v>339</v>
      </c>
      <c r="E173" t="s">
        <v>339</v>
      </c>
      <c r="F173" t="s">
        <v>339</v>
      </c>
      <c r="G173">
        <v>0</v>
      </c>
      <c r="H173" t="s">
        <v>456</v>
      </c>
      <c r="I173">
        <v>38</v>
      </c>
      <c r="K173">
        <v>5</v>
      </c>
      <c r="L173">
        <v>8</v>
      </c>
      <c r="M173">
        <v>13</v>
      </c>
      <c r="N173">
        <v>33</v>
      </c>
      <c r="O173">
        <v>13</v>
      </c>
      <c r="P173">
        <v>2.5</v>
      </c>
      <c r="Q173">
        <v>0</v>
      </c>
      <c r="R173">
        <v>6</v>
      </c>
      <c r="S173">
        <v>0.05</v>
      </c>
      <c r="T173">
        <v>0.05</v>
      </c>
      <c r="U173">
        <v>0.02</v>
      </c>
      <c r="V173">
        <v>0.01</v>
      </c>
      <c r="W173">
        <v>0.02</v>
      </c>
      <c r="X173">
        <v>1E-3</v>
      </c>
      <c r="AB173">
        <v>0.5</v>
      </c>
      <c r="AC173">
        <v>1.0900000000000001</v>
      </c>
      <c r="AD173">
        <v>2.13</v>
      </c>
      <c r="AE173">
        <v>2.3199999999999998</v>
      </c>
      <c r="AF173">
        <v>10.9</v>
      </c>
      <c r="AG173">
        <v>42</v>
      </c>
      <c r="AH173">
        <v>67</v>
      </c>
      <c r="AI173">
        <v>105</v>
      </c>
      <c r="AM173" s="6">
        <v>45601</v>
      </c>
    </row>
    <row r="174" spans="1:39" x14ac:dyDescent="0.2">
      <c r="A174" t="s">
        <v>376</v>
      </c>
      <c r="B174" t="s">
        <v>577</v>
      </c>
      <c r="D174" t="s">
        <v>339</v>
      </c>
      <c r="E174" t="s">
        <v>339</v>
      </c>
      <c r="F174" t="s">
        <v>339</v>
      </c>
      <c r="G174">
        <v>0</v>
      </c>
      <c r="M174">
        <v>52</v>
      </c>
      <c r="N174">
        <v>34</v>
      </c>
      <c r="Q174">
        <v>0</v>
      </c>
      <c r="AB174">
        <v>0.4</v>
      </c>
      <c r="AC174">
        <v>0.7</v>
      </c>
      <c r="AE174">
        <v>1.4</v>
      </c>
      <c r="AF174">
        <v>6.5</v>
      </c>
      <c r="AG174">
        <v>33.5</v>
      </c>
      <c r="AH174">
        <v>46.8</v>
      </c>
      <c r="AM174" s="6">
        <v>45601</v>
      </c>
    </row>
    <row r="175" spans="1:39" x14ac:dyDescent="0.2">
      <c r="A175" t="s">
        <v>337</v>
      </c>
      <c r="B175" t="s">
        <v>578</v>
      </c>
      <c r="D175" t="s">
        <v>339</v>
      </c>
      <c r="E175" t="s">
        <v>339</v>
      </c>
      <c r="F175" t="s">
        <v>339</v>
      </c>
      <c r="G175">
        <v>0</v>
      </c>
      <c r="H175" t="s">
        <v>579</v>
      </c>
      <c r="I175">
        <v>1</v>
      </c>
      <c r="K175">
        <v>0.1</v>
      </c>
      <c r="L175">
        <v>5.9</v>
      </c>
      <c r="M175">
        <v>6</v>
      </c>
      <c r="N175">
        <v>36</v>
      </c>
      <c r="O175">
        <v>20</v>
      </c>
      <c r="P175">
        <v>2</v>
      </c>
      <c r="Q175">
        <v>0</v>
      </c>
      <c r="R175">
        <v>15.9</v>
      </c>
      <c r="S175">
        <v>7.4999999999999983E-2</v>
      </c>
      <c r="T175">
        <v>0.05</v>
      </c>
      <c r="U175">
        <v>0.01</v>
      </c>
      <c r="V175">
        <v>0.02</v>
      </c>
      <c r="W175">
        <v>0.03</v>
      </c>
      <c r="X175">
        <v>1E-3</v>
      </c>
      <c r="Y175">
        <v>0</v>
      </c>
      <c r="AA175">
        <v>0</v>
      </c>
      <c r="AB175">
        <v>0.6</v>
      </c>
      <c r="AC175">
        <v>1.1000000000000001</v>
      </c>
      <c r="AD175">
        <v>1.6</v>
      </c>
      <c r="AE175">
        <v>2.1</v>
      </c>
      <c r="AF175">
        <v>9</v>
      </c>
      <c r="AG175">
        <v>35</v>
      </c>
      <c r="AH175">
        <v>60</v>
      </c>
      <c r="AI175">
        <v>99</v>
      </c>
      <c r="AJ175">
        <v>0</v>
      </c>
      <c r="AM175" s="6">
        <v>45601</v>
      </c>
    </row>
    <row r="176" spans="1:39" x14ac:dyDescent="0.2">
      <c r="A176" t="s">
        <v>376</v>
      </c>
      <c r="B176" t="s">
        <v>580</v>
      </c>
      <c r="D176" t="s">
        <v>339</v>
      </c>
      <c r="E176" t="s">
        <v>339</v>
      </c>
      <c r="F176" t="s">
        <v>339</v>
      </c>
      <c r="G176">
        <v>7.5</v>
      </c>
      <c r="H176" t="s">
        <v>434</v>
      </c>
      <c r="I176">
        <v>0</v>
      </c>
      <c r="L176">
        <v>7.5</v>
      </c>
      <c r="M176">
        <v>12</v>
      </c>
      <c r="N176">
        <v>36</v>
      </c>
      <c r="O176">
        <v>4</v>
      </c>
      <c r="P176">
        <v>4.5</v>
      </c>
      <c r="Q176">
        <v>0</v>
      </c>
      <c r="R176">
        <v>10</v>
      </c>
      <c r="S176">
        <v>7.4999999999999983E-2</v>
      </c>
      <c r="T176">
        <v>0.06</v>
      </c>
      <c r="U176">
        <v>2.7E-2</v>
      </c>
      <c r="V176">
        <v>2.7E-2</v>
      </c>
      <c r="W176">
        <v>4.0000000000000001E-3</v>
      </c>
      <c r="X176">
        <v>4.0000000000000001E-3</v>
      </c>
      <c r="AB176">
        <v>0.7</v>
      </c>
      <c r="AC176">
        <v>1.3</v>
      </c>
      <c r="AD176">
        <v>1.7</v>
      </c>
      <c r="AE176">
        <v>2.4</v>
      </c>
      <c r="AF176">
        <v>10</v>
      </c>
      <c r="AG176">
        <v>42</v>
      </c>
      <c r="AH176">
        <v>76</v>
      </c>
      <c r="AI176">
        <v>121</v>
      </c>
      <c r="AM176" s="6">
        <v>45601</v>
      </c>
    </row>
    <row r="177" spans="1:39" x14ac:dyDescent="0.2">
      <c r="A177" t="s">
        <v>376</v>
      </c>
      <c r="B177" t="s">
        <v>581</v>
      </c>
      <c r="D177" t="s">
        <v>339</v>
      </c>
      <c r="E177" t="s">
        <v>339</v>
      </c>
      <c r="F177" t="s">
        <v>339</v>
      </c>
      <c r="G177">
        <v>9.5</v>
      </c>
      <c r="H177" t="s">
        <v>490</v>
      </c>
      <c r="I177">
        <v>17</v>
      </c>
      <c r="K177">
        <v>2.5</v>
      </c>
      <c r="L177">
        <v>12</v>
      </c>
      <c r="M177">
        <v>12</v>
      </c>
      <c r="N177">
        <v>36</v>
      </c>
      <c r="Q177">
        <v>0</v>
      </c>
      <c r="R177">
        <v>5</v>
      </c>
      <c r="S177">
        <v>7.0000000000000007E-2</v>
      </c>
      <c r="T177">
        <v>0.04</v>
      </c>
      <c r="U177">
        <v>2.5000000000000001E-2</v>
      </c>
      <c r="V177">
        <v>2.5000000000000001E-2</v>
      </c>
      <c r="W177">
        <v>0.01</v>
      </c>
      <c r="X177">
        <v>4.0000000000000001E-3</v>
      </c>
      <c r="AB177">
        <v>0.7</v>
      </c>
      <c r="AC177">
        <v>1.3</v>
      </c>
      <c r="AD177">
        <v>1.9</v>
      </c>
      <c r="AE177">
        <v>2.5</v>
      </c>
      <c r="AF177">
        <v>11</v>
      </c>
      <c r="AG177">
        <v>40</v>
      </c>
      <c r="AH177">
        <v>76</v>
      </c>
      <c r="AI177">
        <v>130</v>
      </c>
      <c r="AM177" s="6">
        <v>45601</v>
      </c>
    </row>
    <row r="178" spans="1:39" x14ac:dyDescent="0.2">
      <c r="A178" t="s">
        <v>376</v>
      </c>
      <c r="B178" t="s">
        <v>582</v>
      </c>
      <c r="D178" t="s">
        <v>339</v>
      </c>
      <c r="E178" t="s">
        <v>339</v>
      </c>
      <c r="F178" t="s">
        <v>339</v>
      </c>
      <c r="G178">
        <v>3</v>
      </c>
      <c r="H178" t="s">
        <v>434</v>
      </c>
      <c r="I178">
        <v>0</v>
      </c>
      <c r="L178">
        <v>3</v>
      </c>
      <c r="M178">
        <v>11</v>
      </c>
      <c r="N178">
        <v>38</v>
      </c>
      <c r="O178">
        <v>4</v>
      </c>
      <c r="P178">
        <v>4</v>
      </c>
      <c r="Q178">
        <v>0</v>
      </c>
      <c r="R178">
        <v>27.5</v>
      </c>
      <c r="S178">
        <v>7.0000000000000007E-2</v>
      </c>
      <c r="T178">
        <v>0.04</v>
      </c>
      <c r="U178">
        <v>2.5000000000000001E-2</v>
      </c>
      <c r="V178">
        <v>2.5000000000000001E-2</v>
      </c>
      <c r="W178">
        <v>0.01</v>
      </c>
      <c r="X178">
        <v>4.0000000000000001E-3</v>
      </c>
      <c r="AB178">
        <v>0.7</v>
      </c>
      <c r="AC178">
        <v>1.3</v>
      </c>
      <c r="AD178">
        <v>2</v>
      </c>
      <c r="AE178">
        <v>2.5</v>
      </c>
      <c r="AF178">
        <v>10</v>
      </c>
      <c r="AG178">
        <v>41</v>
      </c>
      <c r="AH178">
        <v>71</v>
      </c>
      <c r="AI178">
        <v>115</v>
      </c>
      <c r="AM178" s="6">
        <v>45601</v>
      </c>
    </row>
    <row r="179" spans="1:39" x14ac:dyDescent="0.2">
      <c r="A179" t="s">
        <v>372</v>
      </c>
      <c r="B179" t="s">
        <v>583</v>
      </c>
      <c r="D179" t="s">
        <v>339</v>
      </c>
      <c r="G179">
        <v>9</v>
      </c>
      <c r="M179">
        <v>9</v>
      </c>
      <c r="N179">
        <v>40</v>
      </c>
      <c r="O179">
        <v>25</v>
      </c>
      <c r="Q179">
        <v>0</v>
      </c>
      <c r="S179">
        <v>0.12</v>
      </c>
      <c r="T179">
        <v>0.06</v>
      </c>
      <c r="U179">
        <v>1.6E-2</v>
      </c>
      <c r="V179">
        <v>0.02</v>
      </c>
      <c r="W179">
        <v>1.6E-2</v>
      </c>
      <c r="X179">
        <v>0.01</v>
      </c>
      <c r="AA179" t="s">
        <v>375</v>
      </c>
      <c r="AB179">
        <v>0.35596767676767682</v>
      </c>
      <c r="AC179">
        <v>0.7</v>
      </c>
      <c r="AD179">
        <v>1.064961616161616</v>
      </c>
      <c r="AE179">
        <v>1.4394828282828285</v>
      </c>
      <c r="AF179">
        <v>6.5638787878787879</v>
      </c>
      <c r="AG179">
        <v>29.147717171717172</v>
      </c>
      <c r="AH179">
        <v>52.281090909090906</v>
      </c>
      <c r="AI179">
        <v>89.492525252525255</v>
      </c>
      <c r="AM179" s="6">
        <v>45601</v>
      </c>
    </row>
    <row r="180" spans="1:39" x14ac:dyDescent="0.2">
      <c r="A180" t="s">
        <v>376</v>
      </c>
      <c r="B180" t="s">
        <v>584</v>
      </c>
      <c r="D180" t="s">
        <v>339</v>
      </c>
      <c r="E180" t="s">
        <v>339</v>
      </c>
      <c r="F180" t="s">
        <v>339</v>
      </c>
      <c r="G180">
        <v>0</v>
      </c>
      <c r="H180" t="s">
        <v>487</v>
      </c>
      <c r="I180">
        <v>30</v>
      </c>
      <c r="K180">
        <v>3.9</v>
      </c>
      <c r="L180">
        <v>9.1</v>
      </c>
      <c r="M180">
        <v>13</v>
      </c>
      <c r="N180">
        <v>40</v>
      </c>
      <c r="O180">
        <v>13</v>
      </c>
      <c r="Q180">
        <v>0</v>
      </c>
      <c r="S180">
        <v>7.0000000000000007E-2</v>
      </c>
      <c r="T180">
        <v>0.04</v>
      </c>
      <c r="U180">
        <v>2.5000000000000001E-2</v>
      </c>
      <c r="V180">
        <v>2.5000000000000001E-2</v>
      </c>
      <c r="W180">
        <v>0.01</v>
      </c>
      <c r="X180">
        <v>4.0000000000000001E-3</v>
      </c>
      <c r="AB180">
        <v>0.5</v>
      </c>
      <c r="AC180">
        <v>1</v>
      </c>
      <c r="AD180">
        <v>1.5</v>
      </c>
      <c r="AE180">
        <v>2</v>
      </c>
      <c r="AF180">
        <v>9</v>
      </c>
      <c r="AG180">
        <v>36</v>
      </c>
      <c r="AH180">
        <v>61</v>
      </c>
      <c r="AI180">
        <v>98</v>
      </c>
      <c r="AM180" s="6">
        <v>45601</v>
      </c>
    </row>
    <row r="181" spans="1:39" x14ac:dyDescent="0.2">
      <c r="A181" t="s">
        <v>337</v>
      </c>
      <c r="B181" t="s">
        <v>585</v>
      </c>
      <c r="D181" t="s">
        <v>339</v>
      </c>
      <c r="E181" t="s">
        <v>339</v>
      </c>
      <c r="F181" t="s">
        <v>339</v>
      </c>
      <c r="G181">
        <v>0</v>
      </c>
      <c r="H181" t="s">
        <v>586</v>
      </c>
      <c r="I181">
        <v>8</v>
      </c>
      <c r="K181">
        <v>0.8</v>
      </c>
      <c r="L181">
        <v>9.1999999999999993</v>
      </c>
      <c r="M181">
        <v>10</v>
      </c>
      <c r="N181">
        <v>40</v>
      </c>
      <c r="O181">
        <v>10</v>
      </c>
      <c r="P181">
        <v>2</v>
      </c>
      <c r="Q181">
        <v>0</v>
      </c>
      <c r="R181">
        <v>18</v>
      </c>
      <c r="S181">
        <v>7.0000000000000007E-2</v>
      </c>
      <c r="T181">
        <v>0.05</v>
      </c>
      <c r="U181">
        <v>0.01</v>
      </c>
      <c r="V181">
        <v>0.03</v>
      </c>
      <c r="W181">
        <v>0.01</v>
      </c>
      <c r="X181">
        <v>1E-3</v>
      </c>
      <c r="Y181">
        <v>0</v>
      </c>
      <c r="AA181">
        <v>0</v>
      </c>
      <c r="AB181">
        <v>0.6</v>
      </c>
      <c r="AC181">
        <v>1.1000000000000001</v>
      </c>
      <c r="AD181">
        <v>1.6</v>
      </c>
      <c r="AE181">
        <v>2.1</v>
      </c>
      <c r="AH181">
        <v>61</v>
      </c>
      <c r="AJ181">
        <v>0</v>
      </c>
      <c r="AM181" s="6">
        <v>45601</v>
      </c>
    </row>
    <row r="182" spans="1:39" x14ac:dyDescent="0.2">
      <c r="A182" t="s">
        <v>337</v>
      </c>
      <c r="B182" t="s">
        <v>587</v>
      </c>
      <c r="D182" t="s">
        <v>339</v>
      </c>
      <c r="E182" t="s">
        <v>339</v>
      </c>
      <c r="F182" t="s">
        <v>339</v>
      </c>
      <c r="G182">
        <v>0</v>
      </c>
      <c r="H182" t="s">
        <v>588</v>
      </c>
      <c r="I182">
        <v>11</v>
      </c>
      <c r="K182">
        <v>1.1000000000000001</v>
      </c>
      <c r="L182">
        <v>8.9</v>
      </c>
      <c r="M182">
        <v>10</v>
      </c>
      <c r="N182">
        <v>40</v>
      </c>
      <c r="O182">
        <v>10</v>
      </c>
      <c r="P182">
        <v>2</v>
      </c>
      <c r="Q182">
        <v>0</v>
      </c>
      <c r="R182">
        <v>21.6</v>
      </c>
      <c r="S182">
        <v>7.4999999999999983E-2</v>
      </c>
      <c r="T182">
        <v>0.05</v>
      </c>
      <c r="U182">
        <v>0.01</v>
      </c>
      <c r="V182">
        <v>0.02</v>
      </c>
      <c r="W182">
        <v>0.03</v>
      </c>
      <c r="X182">
        <v>1E-3</v>
      </c>
      <c r="Y182">
        <v>0</v>
      </c>
      <c r="AA182">
        <v>0</v>
      </c>
      <c r="AB182">
        <v>0.6</v>
      </c>
      <c r="AC182">
        <v>1.1000000000000001</v>
      </c>
      <c r="AD182">
        <v>1.6</v>
      </c>
      <c r="AE182">
        <v>2.1</v>
      </c>
      <c r="AF182">
        <v>9</v>
      </c>
      <c r="AG182">
        <v>36</v>
      </c>
      <c r="AH182">
        <v>61</v>
      </c>
      <c r="AI182">
        <v>100</v>
      </c>
      <c r="AJ182">
        <v>0</v>
      </c>
      <c r="AM182" s="6">
        <v>45601</v>
      </c>
    </row>
    <row r="183" spans="1:39" x14ac:dyDescent="0.2">
      <c r="A183" t="s">
        <v>372</v>
      </c>
      <c r="B183" t="s">
        <v>589</v>
      </c>
      <c r="D183" t="s">
        <v>339</v>
      </c>
      <c r="G183">
        <v>0</v>
      </c>
      <c r="H183" t="s">
        <v>590</v>
      </c>
      <c r="I183">
        <v>22</v>
      </c>
      <c r="K183">
        <v>2.2000000000000002</v>
      </c>
      <c r="L183">
        <v>7.8</v>
      </c>
      <c r="M183">
        <v>10</v>
      </c>
      <c r="N183">
        <v>50</v>
      </c>
      <c r="O183">
        <v>10</v>
      </c>
      <c r="Q183">
        <v>0</v>
      </c>
      <c r="S183">
        <v>0.12</v>
      </c>
      <c r="T183">
        <v>0.04</v>
      </c>
      <c r="U183">
        <v>0.01</v>
      </c>
      <c r="V183">
        <v>0.01</v>
      </c>
      <c r="W183">
        <v>0.01</v>
      </c>
      <c r="X183">
        <v>1E-3</v>
      </c>
      <c r="AA183" t="s">
        <v>375</v>
      </c>
      <c r="AB183">
        <v>0.40783213488042125</v>
      </c>
      <c r="AC183">
        <v>0.8</v>
      </c>
      <c r="AD183">
        <v>1.2130087185025156</v>
      </c>
      <c r="AE183">
        <v>1.6470705408536899</v>
      </c>
      <c r="AF183">
        <v>7.746292900313958</v>
      </c>
      <c r="AG183">
        <v>32.951025057698011</v>
      </c>
      <c r="AH183">
        <v>58.171091993173057</v>
      </c>
      <c r="AI183">
        <v>97.364358167547238</v>
      </c>
      <c r="AM183" s="6">
        <v>45601</v>
      </c>
    </row>
    <row r="184" spans="1:39" x14ac:dyDescent="0.2">
      <c r="A184" t="s">
        <v>398</v>
      </c>
      <c r="B184" t="s">
        <v>591</v>
      </c>
      <c r="D184" t="s">
        <v>339</v>
      </c>
      <c r="F184" t="s">
        <v>339</v>
      </c>
      <c r="G184">
        <v>0</v>
      </c>
      <c r="N184">
        <v>52</v>
      </c>
      <c r="O184">
        <v>34</v>
      </c>
      <c r="Q184">
        <v>0</v>
      </c>
      <c r="AB184">
        <v>0.5</v>
      </c>
      <c r="AC184">
        <v>0.8</v>
      </c>
      <c r="AD184">
        <v>1.2</v>
      </c>
      <c r="AE184">
        <v>1.6</v>
      </c>
      <c r="AF184">
        <v>7</v>
      </c>
      <c r="AG184">
        <v>28</v>
      </c>
      <c r="AH184">
        <v>47</v>
      </c>
      <c r="AI184">
        <v>78</v>
      </c>
      <c r="AM184" s="6">
        <v>45601</v>
      </c>
    </row>
    <row r="185" spans="1:39" x14ac:dyDescent="0.2">
      <c r="A185" t="s">
        <v>337</v>
      </c>
      <c r="B185" t="s">
        <v>592</v>
      </c>
      <c r="D185" t="s">
        <v>339</v>
      </c>
      <c r="E185" t="s">
        <v>339</v>
      </c>
      <c r="G185">
        <v>0</v>
      </c>
      <c r="H185" t="s">
        <v>593</v>
      </c>
      <c r="I185">
        <v>14</v>
      </c>
      <c r="K185">
        <v>1.4</v>
      </c>
      <c r="L185">
        <v>8.5999999999999979</v>
      </c>
      <c r="M185">
        <v>10</v>
      </c>
      <c r="N185">
        <v>52</v>
      </c>
      <c r="O185">
        <v>10</v>
      </c>
      <c r="P185">
        <v>0</v>
      </c>
      <c r="Q185">
        <v>0</v>
      </c>
      <c r="R185">
        <v>0</v>
      </c>
      <c r="S185">
        <v>0.1</v>
      </c>
      <c r="T185">
        <v>0.05</v>
      </c>
      <c r="U185">
        <v>0.02</v>
      </c>
      <c r="V185">
        <v>0.02</v>
      </c>
      <c r="W185">
        <v>0.05</v>
      </c>
      <c r="X185">
        <v>1E-3</v>
      </c>
      <c r="Y185">
        <v>0</v>
      </c>
      <c r="AA185">
        <v>0</v>
      </c>
      <c r="AB185">
        <v>0.5</v>
      </c>
      <c r="AC185">
        <v>0.9</v>
      </c>
      <c r="AD185">
        <v>1.3</v>
      </c>
      <c r="AE185">
        <v>1.7</v>
      </c>
      <c r="AG185">
        <v>31</v>
      </c>
      <c r="AH185">
        <v>54</v>
      </c>
      <c r="AI185">
        <v>86</v>
      </c>
      <c r="AJ185">
        <v>0</v>
      </c>
      <c r="AM185" s="6">
        <v>45601</v>
      </c>
    </row>
    <row r="186" spans="1:39" x14ac:dyDescent="0.2">
      <c r="A186" t="s">
        <v>372</v>
      </c>
      <c r="B186" t="s">
        <v>594</v>
      </c>
      <c r="D186" t="s">
        <v>339</v>
      </c>
      <c r="G186">
        <v>2.4</v>
      </c>
      <c r="H186" t="s">
        <v>434</v>
      </c>
      <c r="I186">
        <v>0</v>
      </c>
      <c r="L186">
        <v>7.5999999999999988</v>
      </c>
      <c r="M186">
        <v>10</v>
      </c>
      <c r="N186">
        <v>52</v>
      </c>
      <c r="O186">
        <v>10</v>
      </c>
      <c r="Q186">
        <v>0</v>
      </c>
      <c r="S186">
        <v>0.12</v>
      </c>
      <c r="T186">
        <v>0.06</v>
      </c>
      <c r="U186">
        <v>1.4999999999999999E-2</v>
      </c>
      <c r="V186">
        <v>0.02</v>
      </c>
      <c r="W186">
        <v>1.4999999999999999E-2</v>
      </c>
      <c r="X186">
        <v>0.01</v>
      </c>
      <c r="AA186" t="s">
        <v>375</v>
      </c>
      <c r="AB186">
        <v>0.425974025974026</v>
      </c>
      <c r="AC186">
        <v>0.8</v>
      </c>
      <c r="AD186">
        <v>1.2155844155844158</v>
      </c>
      <c r="AE186">
        <v>1.5584415584415581</v>
      </c>
      <c r="AF186">
        <v>7.1688311688311694</v>
      </c>
      <c r="AG186">
        <v>30.545454545454536</v>
      </c>
      <c r="AH186">
        <v>52.259740259740255</v>
      </c>
      <c r="AI186">
        <v>83.116883116883102</v>
      </c>
      <c r="AM186" s="6">
        <v>45601</v>
      </c>
    </row>
    <row r="187" spans="1:39" x14ac:dyDescent="0.2">
      <c r="A187" t="s">
        <v>376</v>
      </c>
      <c r="B187" t="s">
        <v>595</v>
      </c>
      <c r="D187" t="s">
        <v>339</v>
      </c>
      <c r="E187" t="s">
        <v>339</v>
      </c>
      <c r="F187" t="s">
        <v>339</v>
      </c>
      <c r="G187">
        <v>0</v>
      </c>
      <c r="H187" t="s">
        <v>434</v>
      </c>
      <c r="I187">
        <v>0</v>
      </c>
      <c r="L187">
        <v>12</v>
      </c>
      <c r="N187">
        <v>61</v>
      </c>
      <c r="Q187">
        <v>0</v>
      </c>
      <c r="AB187">
        <v>0.4</v>
      </c>
      <c r="AC187">
        <v>0.7</v>
      </c>
      <c r="AE187">
        <v>1.4</v>
      </c>
      <c r="AF187">
        <v>6.3</v>
      </c>
      <c r="AG187">
        <v>33.200000000000003</v>
      </c>
      <c r="AH187">
        <v>46.5</v>
      </c>
      <c r="AM187" s="6">
        <v>45601</v>
      </c>
    </row>
    <row r="188" spans="1:39" x14ac:dyDescent="0.2">
      <c r="A188" t="s">
        <v>376</v>
      </c>
      <c r="B188" t="s">
        <v>596</v>
      </c>
      <c r="D188" t="s">
        <v>339</v>
      </c>
      <c r="E188" t="s">
        <v>339</v>
      </c>
      <c r="F188" t="s">
        <v>339</v>
      </c>
      <c r="G188">
        <v>0</v>
      </c>
      <c r="O188">
        <v>51</v>
      </c>
      <c r="Q188">
        <v>0</v>
      </c>
      <c r="R188">
        <v>45</v>
      </c>
      <c r="AB188">
        <v>0.8</v>
      </c>
      <c r="AC188">
        <v>1.5</v>
      </c>
      <c r="AE188">
        <v>3</v>
      </c>
      <c r="AF188">
        <v>10.6</v>
      </c>
      <c r="AG188">
        <v>41.9</v>
      </c>
      <c r="AH188">
        <v>82</v>
      </c>
      <c r="AM188" s="6">
        <v>45601</v>
      </c>
    </row>
    <row r="189" spans="1:39" x14ac:dyDescent="0.2">
      <c r="A189" t="s">
        <v>398</v>
      </c>
      <c r="B189" t="s">
        <v>597</v>
      </c>
      <c r="D189" t="s">
        <v>339</v>
      </c>
      <c r="F189" t="s">
        <v>339</v>
      </c>
      <c r="G189">
        <v>0</v>
      </c>
      <c r="O189">
        <v>50</v>
      </c>
      <c r="Q189">
        <v>0</v>
      </c>
      <c r="AB189">
        <v>0.95</v>
      </c>
      <c r="AC189">
        <v>1.7</v>
      </c>
      <c r="AD189">
        <v>2.4</v>
      </c>
      <c r="AE189">
        <v>3.4</v>
      </c>
      <c r="AF189">
        <v>14</v>
      </c>
      <c r="AG189">
        <v>54</v>
      </c>
      <c r="AH189">
        <v>97</v>
      </c>
      <c r="AM189" s="6">
        <v>45601</v>
      </c>
    </row>
    <row r="190" spans="1:39" x14ac:dyDescent="0.2">
      <c r="A190" t="s">
        <v>376</v>
      </c>
      <c r="B190" t="s">
        <v>598</v>
      </c>
      <c r="D190" t="s">
        <v>339</v>
      </c>
      <c r="E190" t="s">
        <v>339</v>
      </c>
      <c r="F190" t="s">
        <v>339</v>
      </c>
      <c r="G190">
        <v>0</v>
      </c>
      <c r="H190" t="s">
        <v>361</v>
      </c>
      <c r="I190">
        <v>100</v>
      </c>
      <c r="K190">
        <v>13.7</v>
      </c>
      <c r="O190">
        <v>46.3</v>
      </c>
      <c r="Q190">
        <v>0</v>
      </c>
      <c r="AB190">
        <v>0.7</v>
      </c>
      <c r="AC190">
        <v>1.35</v>
      </c>
      <c r="AF190">
        <v>12</v>
      </c>
      <c r="AG190">
        <v>52</v>
      </c>
      <c r="AH190">
        <v>96</v>
      </c>
      <c r="AI190">
        <v>170</v>
      </c>
      <c r="AM190" s="6">
        <v>45601</v>
      </c>
    </row>
    <row r="191" spans="1:39" x14ac:dyDescent="0.2">
      <c r="A191" t="s">
        <v>372</v>
      </c>
      <c r="B191" t="s">
        <v>599</v>
      </c>
      <c r="D191" t="s">
        <v>339</v>
      </c>
      <c r="G191">
        <v>0</v>
      </c>
      <c r="H191" t="s">
        <v>361</v>
      </c>
      <c r="I191">
        <v>100</v>
      </c>
      <c r="K191">
        <v>13</v>
      </c>
      <c r="M191">
        <v>13</v>
      </c>
      <c r="O191">
        <v>44</v>
      </c>
      <c r="Q191">
        <v>0</v>
      </c>
      <c r="R191">
        <v>0.5</v>
      </c>
      <c r="S191">
        <v>0.12</v>
      </c>
      <c r="T191">
        <v>0.06</v>
      </c>
      <c r="U191">
        <v>1.4999999999999999E-2</v>
      </c>
      <c r="W191">
        <v>1.4999999999999999E-2</v>
      </c>
      <c r="X191">
        <v>0.01</v>
      </c>
      <c r="AA191" t="s">
        <v>375</v>
      </c>
      <c r="AB191">
        <v>0.67031249999999998</v>
      </c>
      <c r="AC191">
        <v>1.3</v>
      </c>
      <c r="AD191">
        <v>1.9296875</v>
      </c>
      <c r="AE191">
        <v>2.69140625</v>
      </c>
      <c r="AF191">
        <v>11.984375</v>
      </c>
      <c r="AG191">
        <v>53.3203125</v>
      </c>
      <c r="AH191">
        <v>95.265625</v>
      </c>
      <c r="AI191">
        <v>160.46875</v>
      </c>
      <c r="AM191" s="6">
        <v>45601</v>
      </c>
    </row>
    <row r="192" spans="1:39" x14ac:dyDescent="0.2">
      <c r="A192" t="s">
        <v>372</v>
      </c>
      <c r="B192" t="s">
        <v>600</v>
      </c>
      <c r="D192" t="s">
        <v>339</v>
      </c>
      <c r="G192">
        <v>0</v>
      </c>
      <c r="H192" t="s">
        <v>361</v>
      </c>
      <c r="I192">
        <v>100</v>
      </c>
      <c r="K192">
        <v>12</v>
      </c>
      <c r="M192">
        <v>12</v>
      </c>
      <c r="O192">
        <v>43</v>
      </c>
      <c r="Q192">
        <v>0</v>
      </c>
      <c r="S192">
        <v>0.12</v>
      </c>
      <c r="T192">
        <v>0.06</v>
      </c>
      <c r="U192">
        <v>1.4999999999999999E-2</v>
      </c>
      <c r="V192">
        <v>0.02</v>
      </c>
      <c r="W192">
        <v>1.4999999999999999E-2</v>
      </c>
      <c r="X192">
        <v>0.01</v>
      </c>
      <c r="AA192" t="s">
        <v>375</v>
      </c>
      <c r="AB192">
        <v>0.67031249999999998</v>
      </c>
      <c r="AC192">
        <v>1.3</v>
      </c>
      <c r="AD192">
        <v>1.9296875</v>
      </c>
      <c r="AE192">
        <v>2.69140625</v>
      </c>
      <c r="AF192">
        <v>11.984375</v>
      </c>
      <c r="AG192">
        <v>53.3203125</v>
      </c>
      <c r="AH192">
        <v>95.265625</v>
      </c>
      <c r="AI192">
        <v>160.46875</v>
      </c>
      <c r="AM192" s="6">
        <v>45601</v>
      </c>
    </row>
    <row r="193" spans="1:39" x14ac:dyDescent="0.2">
      <c r="A193" t="s">
        <v>372</v>
      </c>
      <c r="B193" t="s">
        <v>601</v>
      </c>
      <c r="D193" t="s">
        <v>339</v>
      </c>
      <c r="G193">
        <v>0</v>
      </c>
      <c r="H193" t="s">
        <v>361</v>
      </c>
      <c r="I193">
        <v>100</v>
      </c>
      <c r="K193">
        <v>8.1999999999999975</v>
      </c>
      <c r="M193">
        <v>9</v>
      </c>
      <c r="O193">
        <v>39</v>
      </c>
      <c r="P193">
        <v>3.5</v>
      </c>
      <c r="Q193">
        <v>0</v>
      </c>
      <c r="R193">
        <v>17</v>
      </c>
      <c r="S193">
        <v>0.1</v>
      </c>
      <c r="T193">
        <v>0.04</v>
      </c>
      <c r="U193">
        <v>0.01</v>
      </c>
      <c r="V193">
        <v>0.01</v>
      </c>
      <c r="W193">
        <v>0.01</v>
      </c>
      <c r="X193">
        <v>1E-3</v>
      </c>
      <c r="AA193" t="s">
        <v>375</v>
      </c>
      <c r="AB193">
        <v>0.66272721918068467</v>
      </c>
      <c r="AC193">
        <v>1.3</v>
      </c>
      <c r="AD193">
        <v>1.9711391675665881</v>
      </c>
      <c r="AE193">
        <v>2.6764896288872446</v>
      </c>
      <c r="AF193">
        <v>12.58772596301019</v>
      </c>
      <c r="AG193">
        <v>53.545415718759273</v>
      </c>
      <c r="AH193">
        <v>94.528024488906226</v>
      </c>
      <c r="AI193">
        <v>158.21708202226426</v>
      </c>
      <c r="AM193" s="6">
        <v>45601</v>
      </c>
    </row>
    <row r="194" spans="1:39" x14ac:dyDescent="0.2">
      <c r="A194" t="s">
        <v>359</v>
      </c>
      <c r="B194" t="s">
        <v>602</v>
      </c>
      <c r="G194">
        <v>0</v>
      </c>
      <c r="H194" t="s">
        <v>384</v>
      </c>
      <c r="I194">
        <v>33</v>
      </c>
      <c r="K194">
        <v>3</v>
      </c>
      <c r="L194">
        <v>6</v>
      </c>
      <c r="M194">
        <v>9</v>
      </c>
      <c r="O194">
        <v>43</v>
      </c>
      <c r="Q194">
        <v>0</v>
      </c>
      <c r="R194">
        <v>30</v>
      </c>
      <c r="AB194">
        <v>0.65</v>
      </c>
      <c r="AC194">
        <v>1.45</v>
      </c>
      <c r="AD194">
        <v>1.88</v>
      </c>
      <c r="AE194">
        <v>2.75</v>
      </c>
      <c r="AF194">
        <v>15</v>
      </c>
      <c r="AG194">
        <v>50</v>
      </c>
      <c r="AH194">
        <v>85</v>
      </c>
      <c r="AI194">
        <v>121</v>
      </c>
      <c r="AM194" s="6">
        <v>45601</v>
      </c>
    </row>
    <row r="195" spans="1:39" x14ac:dyDescent="0.2">
      <c r="A195" t="s">
        <v>366</v>
      </c>
      <c r="B195" t="s">
        <v>603</v>
      </c>
      <c r="D195" t="s">
        <v>339</v>
      </c>
      <c r="E195" t="s">
        <v>339</v>
      </c>
      <c r="F195" t="s">
        <v>339</v>
      </c>
      <c r="G195">
        <v>3.6</v>
      </c>
      <c r="H195" t="s">
        <v>434</v>
      </c>
      <c r="I195">
        <v>0</v>
      </c>
      <c r="L195">
        <v>1.4</v>
      </c>
      <c r="M195">
        <v>5</v>
      </c>
      <c r="O195">
        <v>10</v>
      </c>
      <c r="P195">
        <v>3</v>
      </c>
      <c r="Q195">
        <v>0</v>
      </c>
      <c r="R195">
        <v>15.6</v>
      </c>
      <c r="S195">
        <v>1</v>
      </c>
      <c r="T195">
        <v>1.5</v>
      </c>
      <c r="U195">
        <v>1</v>
      </c>
      <c r="V195">
        <v>0.3</v>
      </c>
      <c r="W195">
        <v>0.5</v>
      </c>
      <c r="X195">
        <v>0.01</v>
      </c>
      <c r="AA195">
        <v>1.57</v>
      </c>
      <c r="AB195">
        <v>0.27</v>
      </c>
      <c r="AC195">
        <v>0.53</v>
      </c>
      <c r="AD195">
        <v>0.75</v>
      </c>
      <c r="AE195">
        <v>0.98</v>
      </c>
      <c r="AH195">
        <v>38</v>
      </c>
      <c r="AM195" s="6">
        <v>45601</v>
      </c>
    </row>
    <row r="196" spans="1:39" x14ac:dyDescent="0.2">
      <c r="A196" t="s">
        <v>372</v>
      </c>
      <c r="B196" t="s">
        <v>604</v>
      </c>
      <c r="D196" t="s">
        <v>339</v>
      </c>
      <c r="G196">
        <v>0</v>
      </c>
      <c r="H196" t="s">
        <v>393</v>
      </c>
      <c r="I196">
        <v>89</v>
      </c>
      <c r="K196">
        <v>13.3</v>
      </c>
      <c r="L196">
        <v>1.6</v>
      </c>
      <c r="M196">
        <v>15</v>
      </c>
      <c r="O196">
        <v>19</v>
      </c>
      <c r="P196">
        <v>2</v>
      </c>
      <c r="Q196">
        <v>9</v>
      </c>
      <c r="S196">
        <v>0.1</v>
      </c>
      <c r="T196">
        <v>0.04</v>
      </c>
      <c r="U196">
        <v>0.01</v>
      </c>
      <c r="V196">
        <v>0.01</v>
      </c>
      <c r="W196">
        <v>0.01</v>
      </c>
      <c r="X196">
        <v>1E-3</v>
      </c>
      <c r="AA196" t="s">
        <v>375</v>
      </c>
      <c r="AB196">
        <v>0.61174820232063198</v>
      </c>
      <c r="AC196">
        <v>1.2</v>
      </c>
      <c r="AD196">
        <v>1.8195130777537727</v>
      </c>
      <c r="AE196">
        <v>2.4706058112805342</v>
      </c>
      <c r="AF196">
        <v>11.619439350470945</v>
      </c>
      <c r="AG196">
        <v>49.426537586547006</v>
      </c>
      <c r="AH196">
        <v>87.256637989759597</v>
      </c>
      <c r="AI196">
        <v>146.04653725132084</v>
      </c>
      <c r="AM196" s="6">
        <v>45601</v>
      </c>
    </row>
    <row r="197" spans="1:39" x14ac:dyDescent="0.2">
      <c r="A197" t="s">
        <v>398</v>
      </c>
      <c r="B197" t="s">
        <v>605</v>
      </c>
      <c r="D197" t="s">
        <v>339</v>
      </c>
      <c r="F197" t="s">
        <v>339</v>
      </c>
      <c r="G197">
        <v>0</v>
      </c>
      <c r="H197" t="s">
        <v>346</v>
      </c>
      <c r="I197">
        <v>46</v>
      </c>
      <c r="K197">
        <v>9.1999999999999993</v>
      </c>
      <c r="L197">
        <v>10.8</v>
      </c>
      <c r="M197">
        <v>20</v>
      </c>
      <c r="O197">
        <v>16</v>
      </c>
      <c r="P197">
        <v>2</v>
      </c>
      <c r="Q197">
        <v>0</v>
      </c>
      <c r="AB197">
        <v>0.8</v>
      </c>
      <c r="AC197">
        <v>1.6</v>
      </c>
      <c r="AD197">
        <v>2.2000000000000002</v>
      </c>
      <c r="AE197">
        <v>3.1</v>
      </c>
      <c r="AF197">
        <v>12</v>
      </c>
      <c r="AG197">
        <v>50</v>
      </c>
      <c r="AH197">
        <v>103</v>
      </c>
      <c r="AI197">
        <v>184</v>
      </c>
      <c r="AM197" s="6">
        <v>45601</v>
      </c>
    </row>
    <row r="198" spans="1:39" x14ac:dyDescent="0.2">
      <c r="A198" t="s">
        <v>606</v>
      </c>
      <c r="B198" t="s">
        <v>607</v>
      </c>
      <c r="D198" t="s">
        <v>339</v>
      </c>
      <c r="E198" t="s">
        <v>339</v>
      </c>
      <c r="F198" t="s">
        <v>339</v>
      </c>
      <c r="G198">
        <v>15.2</v>
      </c>
      <c r="H198" t="s">
        <v>393</v>
      </c>
      <c r="I198">
        <v>89</v>
      </c>
      <c r="K198">
        <v>4.3</v>
      </c>
      <c r="L198">
        <v>0.5</v>
      </c>
      <c r="M198">
        <v>20</v>
      </c>
      <c r="O198">
        <v>15</v>
      </c>
      <c r="P198">
        <v>4</v>
      </c>
      <c r="S198">
        <v>0.1</v>
      </c>
      <c r="T198">
        <v>0.05</v>
      </c>
      <c r="U198">
        <v>0.05</v>
      </c>
      <c r="V198">
        <v>0.02</v>
      </c>
      <c r="W198">
        <v>0.05</v>
      </c>
      <c r="X198">
        <v>1E-3</v>
      </c>
      <c r="AA198">
        <v>1.5</v>
      </c>
      <c r="AM198" s="6"/>
    </row>
    <row r="199" spans="1:39" x14ac:dyDescent="0.2">
      <c r="A199" t="s">
        <v>366</v>
      </c>
      <c r="B199" t="s">
        <v>608</v>
      </c>
      <c r="D199" t="s">
        <v>339</v>
      </c>
      <c r="E199" t="s">
        <v>339</v>
      </c>
      <c r="F199" t="s">
        <v>339</v>
      </c>
      <c r="G199">
        <v>1.3</v>
      </c>
      <c r="H199" t="s">
        <v>609</v>
      </c>
      <c r="I199">
        <v>2</v>
      </c>
      <c r="K199">
        <v>0.2</v>
      </c>
      <c r="L199">
        <v>8.5</v>
      </c>
      <c r="M199">
        <v>10</v>
      </c>
      <c r="P199">
        <v>2</v>
      </c>
      <c r="Q199">
        <v>15</v>
      </c>
      <c r="S199">
        <v>0.05</v>
      </c>
      <c r="T199">
        <v>0.1</v>
      </c>
      <c r="U199">
        <v>0.02</v>
      </c>
      <c r="V199">
        <v>0.05</v>
      </c>
      <c r="W199">
        <v>0.04</v>
      </c>
      <c r="X199">
        <v>1E-3</v>
      </c>
      <c r="AA199">
        <v>1.6</v>
      </c>
      <c r="AB199">
        <v>0.42</v>
      </c>
      <c r="AC199">
        <v>0.88</v>
      </c>
      <c r="AD199">
        <v>1.1599999999999999</v>
      </c>
      <c r="AE199">
        <v>1.5</v>
      </c>
      <c r="AH199">
        <v>68</v>
      </c>
      <c r="AM199" s="6">
        <v>45601</v>
      </c>
    </row>
    <row r="200" spans="1:39" x14ac:dyDescent="0.2">
      <c r="A200" t="s">
        <v>359</v>
      </c>
      <c r="B200" t="s">
        <v>610</v>
      </c>
      <c r="D200" t="s">
        <v>339</v>
      </c>
      <c r="E200" t="s">
        <v>339</v>
      </c>
      <c r="F200" t="s">
        <v>339</v>
      </c>
      <c r="G200">
        <v>0</v>
      </c>
      <c r="H200" t="s">
        <v>358</v>
      </c>
      <c r="I200">
        <v>50</v>
      </c>
      <c r="K200">
        <v>9</v>
      </c>
      <c r="L200">
        <v>9</v>
      </c>
      <c r="M200">
        <v>18</v>
      </c>
      <c r="Q200">
        <v>0</v>
      </c>
      <c r="AA200">
        <v>1.2400000000000002</v>
      </c>
      <c r="AB200">
        <v>0.59</v>
      </c>
      <c r="AC200">
        <v>1.1499999999999999</v>
      </c>
      <c r="AD200">
        <v>1.69</v>
      </c>
      <c r="AE200">
        <v>2.2200000000000002</v>
      </c>
      <c r="AF200">
        <v>10.3</v>
      </c>
      <c r="AG200">
        <v>26.8</v>
      </c>
      <c r="AH200">
        <v>83.09999999999998</v>
      </c>
      <c r="AM200" s="6">
        <v>45601</v>
      </c>
    </row>
    <row r="201" spans="1:39" x14ac:dyDescent="0.2">
      <c r="A201" t="s">
        <v>359</v>
      </c>
      <c r="B201" t="s">
        <v>611</v>
      </c>
      <c r="D201" t="s">
        <v>339</v>
      </c>
      <c r="E201" t="s">
        <v>339</v>
      </c>
      <c r="F201" t="s">
        <v>339</v>
      </c>
      <c r="G201">
        <v>0</v>
      </c>
      <c r="H201" t="s">
        <v>612</v>
      </c>
      <c r="I201">
        <v>43</v>
      </c>
      <c r="K201">
        <v>8.5999999999999979</v>
      </c>
      <c r="L201">
        <v>11.4</v>
      </c>
      <c r="M201">
        <v>20</v>
      </c>
      <c r="O201">
        <v>16</v>
      </c>
      <c r="P201">
        <v>1</v>
      </c>
      <c r="Q201">
        <v>0</v>
      </c>
      <c r="R201">
        <v>30.6</v>
      </c>
      <c r="S201">
        <v>7.4999999999999997E-2</v>
      </c>
      <c r="T201">
        <v>0.05</v>
      </c>
      <c r="U201">
        <v>1.4999999999999999E-2</v>
      </c>
      <c r="V201">
        <v>0.01</v>
      </c>
      <c r="W201">
        <v>0.02</v>
      </c>
      <c r="X201">
        <v>1E-3</v>
      </c>
      <c r="AB201">
        <v>0.8</v>
      </c>
      <c r="AC201">
        <v>1.53</v>
      </c>
      <c r="AD201">
        <v>2.23</v>
      </c>
      <c r="AE201">
        <v>2.9</v>
      </c>
      <c r="AF201">
        <v>12.8</v>
      </c>
      <c r="AG201">
        <v>53.8</v>
      </c>
      <c r="AH201">
        <v>97.4</v>
      </c>
      <c r="AI201">
        <v>167.8</v>
      </c>
      <c r="AM201" s="6">
        <v>45601</v>
      </c>
    </row>
    <row r="202" spans="1:39" x14ac:dyDescent="0.2">
      <c r="A202" t="s">
        <v>398</v>
      </c>
      <c r="B202" t="s">
        <v>613</v>
      </c>
      <c r="G202">
        <v>0</v>
      </c>
      <c r="Q202">
        <v>0</v>
      </c>
      <c r="AC202">
        <v>0.5</v>
      </c>
      <c r="AM202" s="6">
        <v>45601</v>
      </c>
    </row>
    <row r="203" spans="1:39" x14ac:dyDescent="0.2">
      <c r="A203" t="s">
        <v>398</v>
      </c>
      <c r="B203" t="s">
        <v>614</v>
      </c>
      <c r="G203">
        <v>0</v>
      </c>
      <c r="Q203">
        <v>0</v>
      </c>
      <c r="AC203">
        <v>1.2</v>
      </c>
      <c r="AM203" s="6">
        <v>45601</v>
      </c>
    </row>
    <row r="204" spans="1:39" x14ac:dyDescent="0.2">
      <c r="A204" t="s">
        <v>398</v>
      </c>
      <c r="B204" t="s">
        <v>615</v>
      </c>
      <c r="G204">
        <v>0</v>
      </c>
      <c r="Q204">
        <v>0</v>
      </c>
      <c r="AC204">
        <v>1.1000000000000001</v>
      </c>
      <c r="AM204" s="6">
        <v>45601</v>
      </c>
    </row>
    <row r="205" spans="1:39" x14ac:dyDescent="0.2">
      <c r="A205" t="s">
        <v>341</v>
      </c>
      <c r="B205" t="s">
        <v>616</v>
      </c>
      <c r="D205" t="s">
        <v>339</v>
      </c>
      <c r="F205" t="s">
        <v>339</v>
      </c>
      <c r="G205">
        <v>0</v>
      </c>
      <c r="Q205">
        <v>0</v>
      </c>
      <c r="S205">
        <v>0.1</v>
      </c>
      <c r="T205">
        <v>0.05</v>
      </c>
      <c r="U205">
        <v>2.5000000000000001E-2</v>
      </c>
      <c r="V205">
        <v>2.5000000000000001E-2</v>
      </c>
      <c r="W205">
        <v>0.01</v>
      </c>
      <c r="X205">
        <v>2.5000000000000001E-3</v>
      </c>
      <c r="AB205">
        <v>0.5</v>
      </c>
      <c r="AM205" s="6">
        <v>45601</v>
      </c>
    </row>
    <row r="206" spans="1:39" x14ac:dyDescent="0.2">
      <c r="A206" t="s">
        <v>341</v>
      </c>
      <c r="B206" t="s">
        <v>617</v>
      </c>
      <c r="D206" t="s">
        <v>339</v>
      </c>
      <c r="F206" t="s">
        <v>339</v>
      </c>
      <c r="G206">
        <v>0</v>
      </c>
      <c r="Q206">
        <v>0</v>
      </c>
      <c r="S206">
        <v>0.1</v>
      </c>
      <c r="T206">
        <v>0.05</v>
      </c>
      <c r="U206">
        <v>2.5000000000000001E-2</v>
      </c>
      <c r="V206">
        <v>2.5000000000000001E-2</v>
      </c>
      <c r="W206">
        <v>0.01</v>
      </c>
      <c r="X206">
        <v>2.5000000000000001E-3</v>
      </c>
      <c r="AB206">
        <v>0.3</v>
      </c>
      <c r="AM206" s="6">
        <v>45601</v>
      </c>
    </row>
    <row r="207" spans="1:39" x14ac:dyDescent="0.2">
      <c r="A207" t="s">
        <v>341</v>
      </c>
      <c r="B207" t="s">
        <v>618</v>
      </c>
      <c r="D207" t="s">
        <v>339</v>
      </c>
      <c r="F207" t="s">
        <v>339</v>
      </c>
      <c r="G207">
        <v>0</v>
      </c>
      <c r="Q207">
        <v>0</v>
      </c>
      <c r="S207">
        <v>0.1</v>
      </c>
      <c r="T207">
        <v>0.05</v>
      </c>
      <c r="U207">
        <v>2.5000000000000001E-2</v>
      </c>
      <c r="V207">
        <v>2.5000000000000001E-2</v>
      </c>
      <c r="W207">
        <v>0.01</v>
      </c>
      <c r="X207">
        <v>2.5000000000000001E-3</v>
      </c>
      <c r="AB207">
        <v>0.09</v>
      </c>
      <c r="AM207" s="6">
        <v>45601</v>
      </c>
    </row>
    <row r="208" spans="1:39" x14ac:dyDescent="0.2">
      <c r="A208" t="s">
        <v>341</v>
      </c>
      <c r="B208" t="s">
        <v>619</v>
      </c>
      <c r="D208" t="s">
        <v>339</v>
      </c>
      <c r="F208" t="s">
        <v>339</v>
      </c>
      <c r="G208">
        <v>0</v>
      </c>
      <c r="Q208">
        <v>0</v>
      </c>
      <c r="S208">
        <v>0.1</v>
      </c>
      <c r="T208">
        <v>0.05</v>
      </c>
      <c r="U208">
        <v>2.5000000000000001E-2</v>
      </c>
      <c r="V208">
        <v>2.5000000000000001E-2</v>
      </c>
      <c r="W208">
        <v>0.01</v>
      </c>
      <c r="X208">
        <v>2.5000000000000001E-3</v>
      </c>
      <c r="AB208">
        <v>0.2</v>
      </c>
      <c r="AM208" s="6">
        <v>45601</v>
      </c>
    </row>
    <row r="209" spans="1:39" x14ac:dyDescent="0.2">
      <c r="A209" t="s">
        <v>341</v>
      </c>
      <c r="B209" t="s">
        <v>620</v>
      </c>
      <c r="D209" t="s">
        <v>339</v>
      </c>
      <c r="F209" t="s">
        <v>339</v>
      </c>
      <c r="G209">
        <v>0</v>
      </c>
      <c r="Q209">
        <v>0</v>
      </c>
      <c r="S209">
        <v>0.1</v>
      </c>
      <c r="T209">
        <v>0.05</v>
      </c>
      <c r="U209">
        <v>2.5000000000000001E-2</v>
      </c>
      <c r="V209">
        <v>2.5000000000000001E-2</v>
      </c>
      <c r="W209">
        <v>0.01</v>
      </c>
      <c r="X209">
        <v>2.5000000000000001E-3</v>
      </c>
      <c r="AB209">
        <v>0.2</v>
      </c>
      <c r="AM209" s="6">
        <v>45601</v>
      </c>
    </row>
    <row r="210" spans="1:39" x14ac:dyDescent="0.2">
      <c r="A210" t="s">
        <v>398</v>
      </c>
      <c r="B210" t="s">
        <v>621</v>
      </c>
      <c r="G210">
        <v>0</v>
      </c>
      <c r="Q210">
        <v>0</v>
      </c>
      <c r="AC210">
        <v>1.3</v>
      </c>
      <c r="AM210" s="6">
        <v>45601</v>
      </c>
    </row>
    <row r="211" spans="1:39" x14ac:dyDescent="0.2">
      <c r="A211" t="s">
        <v>398</v>
      </c>
      <c r="B211" t="s">
        <v>622</v>
      </c>
      <c r="D211" t="s">
        <v>463</v>
      </c>
      <c r="F211" t="s">
        <v>339</v>
      </c>
      <c r="G211">
        <v>0</v>
      </c>
      <c r="H211" t="s">
        <v>623</v>
      </c>
      <c r="I211">
        <v>93</v>
      </c>
      <c r="K211">
        <v>14.5</v>
      </c>
      <c r="L211">
        <v>1</v>
      </c>
      <c r="M211">
        <v>15.5</v>
      </c>
      <c r="Q211">
        <v>19</v>
      </c>
      <c r="Z211">
        <v>19</v>
      </c>
      <c r="AB211">
        <v>0.6</v>
      </c>
      <c r="AC211">
        <v>1.1000000000000001</v>
      </c>
      <c r="AD211">
        <v>1.6</v>
      </c>
      <c r="AE211">
        <v>2.1</v>
      </c>
      <c r="AF211">
        <v>11</v>
      </c>
      <c r="AG211">
        <v>42</v>
      </c>
      <c r="AH211">
        <v>66</v>
      </c>
      <c r="AI211">
        <v>103</v>
      </c>
      <c r="AM211" s="6">
        <v>45601</v>
      </c>
    </row>
    <row r="212" spans="1:39" x14ac:dyDescent="0.2">
      <c r="A212" t="s">
        <v>624</v>
      </c>
      <c r="B212" t="s">
        <v>625</v>
      </c>
      <c r="D212" t="s">
        <v>339</v>
      </c>
      <c r="E212" t="s">
        <v>339</v>
      </c>
      <c r="F212" t="s">
        <v>339</v>
      </c>
      <c r="G212">
        <v>18</v>
      </c>
      <c r="H212" t="s">
        <v>523</v>
      </c>
      <c r="I212">
        <v>55</v>
      </c>
      <c r="K212">
        <v>5</v>
      </c>
      <c r="L212">
        <v>4</v>
      </c>
      <c r="M212">
        <v>27</v>
      </c>
      <c r="P212">
        <v>3</v>
      </c>
      <c r="T212">
        <v>0.01</v>
      </c>
      <c r="U212">
        <v>0.01</v>
      </c>
      <c r="V212">
        <v>0.01</v>
      </c>
      <c r="W212">
        <v>5.0000000000000001E-3</v>
      </c>
      <c r="AM212" s="6"/>
    </row>
    <row r="213" spans="1:39" x14ac:dyDescent="0.2">
      <c r="A213" t="s">
        <v>398</v>
      </c>
      <c r="B213" t="s">
        <v>626</v>
      </c>
      <c r="G213">
        <v>0</v>
      </c>
      <c r="Q213">
        <v>0</v>
      </c>
      <c r="AC213">
        <v>1.4</v>
      </c>
      <c r="AM213" s="6">
        <v>45601</v>
      </c>
    </row>
    <row r="214" spans="1:39" x14ac:dyDescent="0.2">
      <c r="A214" t="s">
        <v>359</v>
      </c>
      <c r="B214" t="s">
        <v>627</v>
      </c>
      <c r="D214" t="s">
        <v>339</v>
      </c>
      <c r="E214" t="s">
        <v>339</v>
      </c>
      <c r="F214" t="s">
        <v>339</v>
      </c>
      <c r="G214">
        <v>0</v>
      </c>
      <c r="H214" t="s">
        <v>434</v>
      </c>
      <c r="I214">
        <v>0</v>
      </c>
      <c r="L214">
        <v>21</v>
      </c>
      <c r="M214">
        <v>21</v>
      </c>
      <c r="Q214">
        <v>0</v>
      </c>
      <c r="R214">
        <v>72</v>
      </c>
      <c r="AB214">
        <v>1</v>
      </c>
      <c r="AC214">
        <v>1.97</v>
      </c>
      <c r="AD214">
        <v>2.85</v>
      </c>
      <c r="AE214">
        <v>3.7</v>
      </c>
      <c r="AF214">
        <v>15.5</v>
      </c>
      <c r="AG214">
        <v>63</v>
      </c>
      <c r="AH214">
        <v>112</v>
      </c>
      <c r="AI214">
        <v>139</v>
      </c>
      <c r="AM214" s="6">
        <v>45601</v>
      </c>
    </row>
    <row r="215" spans="1:39" x14ac:dyDescent="0.2">
      <c r="A215" t="s">
        <v>398</v>
      </c>
      <c r="B215" t="s">
        <v>628</v>
      </c>
      <c r="G215">
        <v>0</v>
      </c>
      <c r="M215">
        <v>21</v>
      </c>
      <c r="Q215">
        <v>0</v>
      </c>
      <c r="AB215">
        <v>1</v>
      </c>
      <c r="AC215">
        <v>1.9</v>
      </c>
      <c r="AD215">
        <v>2.8</v>
      </c>
      <c r="AE215">
        <v>3.7</v>
      </c>
      <c r="AF215">
        <v>17</v>
      </c>
      <c r="AG215">
        <v>63</v>
      </c>
      <c r="AH215">
        <v>109</v>
      </c>
      <c r="AI215">
        <v>186</v>
      </c>
      <c r="AM215" s="6">
        <v>45601</v>
      </c>
    </row>
    <row r="216" spans="1:39" x14ac:dyDescent="0.2">
      <c r="A216" t="s">
        <v>398</v>
      </c>
      <c r="B216" t="s">
        <v>629</v>
      </c>
      <c r="G216">
        <v>0</v>
      </c>
      <c r="Q216">
        <v>0</v>
      </c>
      <c r="AC216">
        <v>0.8</v>
      </c>
      <c r="AM216" s="6">
        <v>45601</v>
      </c>
    </row>
    <row r="217" spans="1:39" x14ac:dyDescent="0.2">
      <c r="A217" t="s">
        <v>398</v>
      </c>
      <c r="B217" t="s">
        <v>630</v>
      </c>
      <c r="G217">
        <v>0</v>
      </c>
      <c r="Q217">
        <v>0</v>
      </c>
      <c r="AC217">
        <v>0.9</v>
      </c>
      <c r="AM217" s="6">
        <v>45601</v>
      </c>
    </row>
    <row r="218" spans="1:39" x14ac:dyDescent="0.2">
      <c r="A218" t="s">
        <v>398</v>
      </c>
      <c r="B218" t="s">
        <v>631</v>
      </c>
      <c r="G218">
        <v>0</v>
      </c>
      <c r="Q218">
        <v>0</v>
      </c>
      <c r="AC218">
        <v>0.8</v>
      </c>
      <c r="AM218" s="6">
        <v>45601</v>
      </c>
    </row>
    <row r="219" spans="1:39" x14ac:dyDescent="0.2">
      <c r="A219" t="s">
        <v>398</v>
      </c>
      <c r="B219" t="s">
        <v>632</v>
      </c>
      <c r="D219" t="s">
        <v>339</v>
      </c>
      <c r="E219" t="s">
        <v>339</v>
      </c>
      <c r="F219" t="s">
        <v>339</v>
      </c>
      <c r="G219">
        <v>0</v>
      </c>
      <c r="Q219">
        <v>0</v>
      </c>
      <c r="AM219" s="6"/>
    </row>
    <row r="220" spans="1:39" x14ac:dyDescent="0.2">
      <c r="A220" t="s">
        <v>606</v>
      </c>
      <c r="B220" t="s">
        <v>633</v>
      </c>
      <c r="C220" t="s">
        <v>279</v>
      </c>
      <c r="D220" t="s">
        <v>339</v>
      </c>
      <c r="E220" t="s">
        <v>339</v>
      </c>
      <c r="F220" t="s">
        <v>339</v>
      </c>
      <c r="G220">
        <v>0</v>
      </c>
      <c r="M220">
        <v>3.6</v>
      </c>
      <c r="P220">
        <v>12</v>
      </c>
      <c r="R220">
        <v>4.3</v>
      </c>
      <c r="T220">
        <v>1</v>
      </c>
      <c r="U220">
        <v>0.7</v>
      </c>
      <c r="V220">
        <v>0.3</v>
      </c>
      <c r="AM220" s="6"/>
    </row>
    <row r="221" spans="1:39" x14ac:dyDescent="0.2">
      <c r="A221" t="s">
        <v>366</v>
      </c>
      <c r="B221" t="s">
        <v>634</v>
      </c>
      <c r="G221">
        <v>0</v>
      </c>
      <c r="P221">
        <v>3.4</v>
      </c>
      <c r="Q221">
        <v>0</v>
      </c>
      <c r="AB221">
        <v>0.74</v>
      </c>
      <c r="AC221">
        <v>0.81000000000000016</v>
      </c>
      <c r="AD221">
        <v>0.91</v>
      </c>
      <c r="AE221">
        <v>1.02</v>
      </c>
      <c r="AF221">
        <v>3.4</v>
      </c>
      <c r="AG221">
        <v>12.2</v>
      </c>
      <c r="AH221">
        <v>20.9</v>
      </c>
      <c r="AI221">
        <v>32.4</v>
      </c>
      <c r="AM221" s="6">
        <v>45601</v>
      </c>
    </row>
    <row r="222" spans="1:39" x14ac:dyDescent="0.2">
      <c r="A222" t="s">
        <v>376</v>
      </c>
      <c r="B222" t="s">
        <v>635</v>
      </c>
      <c r="D222" t="s">
        <v>339</v>
      </c>
      <c r="E222" t="s">
        <v>339</v>
      </c>
      <c r="F222" t="s">
        <v>339</v>
      </c>
      <c r="G222">
        <v>0</v>
      </c>
      <c r="H222" t="s">
        <v>636</v>
      </c>
      <c r="I222">
        <v>92</v>
      </c>
      <c r="K222">
        <v>14.4</v>
      </c>
      <c r="L222">
        <v>1.1000000000000001</v>
      </c>
      <c r="Q222">
        <v>26</v>
      </c>
      <c r="AB222">
        <v>0.7</v>
      </c>
      <c r="AC222">
        <v>1.2400000000000002</v>
      </c>
      <c r="AF222">
        <v>10</v>
      </c>
      <c r="AG222">
        <v>40</v>
      </c>
      <c r="AH222">
        <v>70</v>
      </c>
      <c r="AI222">
        <v>110</v>
      </c>
      <c r="AM222" s="6">
        <v>45601</v>
      </c>
    </row>
    <row r="223" spans="1:39" x14ac:dyDescent="0.2">
      <c r="A223" t="s">
        <v>376</v>
      </c>
      <c r="B223" t="s">
        <v>637</v>
      </c>
      <c r="D223" t="s">
        <v>339</v>
      </c>
      <c r="E223" t="s">
        <v>339</v>
      </c>
      <c r="F223" t="s">
        <v>339</v>
      </c>
      <c r="G223">
        <v>0</v>
      </c>
      <c r="H223" t="s">
        <v>361</v>
      </c>
      <c r="I223">
        <v>100</v>
      </c>
      <c r="K223">
        <v>11</v>
      </c>
      <c r="P223">
        <v>15</v>
      </c>
      <c r="Q223">
        <v>0</v>
      </c>
      <c r="AB223">
        <v>0.5</v>
      </c>
      <c r="AC223">
        <v>0.9</v>
      </c>
      <c r="AE223">
        <v>1.7</v>
      </c>
      <c r="AF223">
        <v>8.0999999999999979</v>
      </c>
      <c r="AG223">
        <v>45</v>
      </c>
      <c r="AH223">
        <v>88</v>
      </c>
      <c r="AM223" s="6">
        <v>45601</v>
      </c>
    </row>
    <row r="224" spans="1:39" x14ac:dyDescent="0.2">
      <c r="A224" t="s">
        <v>638</v>
      </c>
      <c r="B224" t="s">
        <v>639</v>
      </c>
      <c r="D224" t="s">
        <v>339</v>
      </c>
      <c r="E224" t="s">
        <v>339</v>
      </c>
      <c r="F224" t="s">
        <v>339</v>
      </c>
      <c r="G224">
        <v>32.5</v>
      </c>
      <c r="J224">
        <v>67.5</v>
      </c>
      <c r="AM224" s="6"/>
    </row>
    <row r="225" spans="1:39" x14ac:dyDescent="0.2">
      <c r="A225" t="s">
        <v>640</v>
      </c>
      <c r="B225" t="s">
        <v>639</v>
      </c>
      <c r="D225" t="s">
        <v>339</v>
      </c>
      <c r="E225" t="s">
        <v>339</v>
      </c>
      <c r="F225" t="s">
        <v>339</v>
      </c>
      <c r="G225">
        <v>32.5</v>
      </c>
      <c r="J225">
        <v>67.5</v>
      </c>
      <c r="AM225" s="6"/>
    </row>
    <row r="226" spans="1:39" x14ac:dyDescent="0.2">
      <c r="A226" t="s">
        <v>641</v>
      </c>
      <c r="B226" t="s">
        <v>642</v>
      </c>
      <c r="D226" t="s">
        <v>339</v>
      </c>
      <c r="E226" t="s">
        <v>339</v>
      </c>
      <c r="F226" t="s">
        <v>339</v>
      </c>
      <c r="G226">
        <v>1.9</v>
      </c>
      <c r="H226" t="s">
        <v>415</v>
      </c>
      <c r="I226">
        <v>67</v>
      </c>
      <c r="K226">
        <v>2.1</v>
      </c>
      <c r="L226">
        <v>1</v>
      </c>
      <c r="M226">
        <v>5</v>
      </c>
      <c r="N226">
        <v>5</v>
      </c>
      <c r="O226">
        <v>7</v>
      </c>
      <c r="AM226" s="6"/>
    </row>
    <row r="227" spans="1:39" x14ac:dyDescent="0.2">
      <c r="A227" t="s">
        <v>643</v>
      </c>
      <c r="B227" t="s">
        <v>644</v>
      </c>
      <c r="D227" t="s">
        <v>339</v>
      </c>
      <c r="G227">
        <v>3.7</v>
      </c>
      <c r="H227" t="s">
        <v>434</v>
      </c>
      <c r="I227">
        <v>0</v>
      </c>
      <c r="L227">
        <v>3.3</v>
      </c>
      <c r="M227">
        <v>7</v>
      </c>
      <c r="N227">
        <v>5</v>
      </c>
      <c r="O227">
        <v>6</v>
      </c>
      <c r="AM227" s="6"/>
    </row>
    <row r="228" spans="1:39" x14ac:dyDescent="0.2">
      <c r="A228" t="s">
        <v>645</v>
      </c>
      <c r="B228" t="s">
        <v>646</v>
      </c>
      <c r="D228" t="s">
        <v>339</v>
      </c>
      <c r="E228" t="s">
        <v>339</v>
      </c>
      <c r="F228" t="s">
        <v>339</v>
      </c>
      <c r="G228">
        <v>5</v>
      </c>
      <c r="M228">
        <v>5.5</v>
      </c>
      <c r="N228">
        <v>5</v>
      </c>
      <c r="O228">
        <v>7.5</v>
      </c>
      <c r="AM228" s="6"/>
    </row>
    <row r="229" spans="1:39" x14ac:dyDescent="0.2">
      <c r="A229" t="s">
        <v>606</v>
      </c>
      <c r="B229" t="s">
        <v>647</v>
      </c>
      <c r="D229" t="s">
        <v>339</v>
      </c>
      <c r="G229">
        <v>4.7</v>
      </c>
      <c r="H229" t="s">
        <v>361</v>
      </c>
      <c r="I229">
        <v>100</v>
      </c>
      <c r="K229">
        <v>0.3</v>
      </c>
      <c r="M229">
        <v>5</v>
      </c>
      <c r="N229">
        <v>8</v>
      </c>
      <c r="O229">
        <v>10</v>
      </c>
      <c r="AM229" s="6"/>
    </row>
    <row r="230" spans="1:39" x14ac:dyDescent="0.2">
      <c r="A230" t="s">
        <v>606</v>
      </c>
      <c r="B230" t="s">
        <v>648</v>
      </c>
      <c r="D230" t="s">
        <v>339</v>
      </c>
      <c r="G230">
        <v>0.4</v>
      </c>
      <c r="H230" t="s">
        <v>649</v>
      </c>
      <c r="I230">
        <v>47</v>
      </c>
      <c r="K230">
        <v>2.2000000000000002</v>
      </c>
      <c r="L230">
        <v>2.4</v>
      </c>
      <c r="M230">
        <v>5</v>
      </c>
      <c r="N230">
        <v>6</v>
      </c>
      <c r="O230">
        <v>8</v>
      </c>
      <c r="AM230" s="6"/>
    </row>
    <row r="231" spans="1:39" x14ac:dyDescent="0.2">
      <c r="A231" t="s">
        <v>606</v>
      </c>
      <c r="B231" t="s">
        <v>650</v>
      </c>
      <c r="D231" t="s">
        <v>339</v>
      </c>
      <c r="E231" t="s">
        <v>339</v>
      </c>
      <c r="F231" t="s">
        <v>339</v>
      </c>
      <c r="G231">
        <v>2</v>
      </c>
      <c r="H231" t="s">
        <v>456</v>
      </c>
      <c r="I231">
        <v>38</v>
      </c>
      <c r="K231">
        <v>2.2999999999999998</v>
      </c>
      <c r="L231">
        <v>3.7</v>
      </c>
      <c r="M231">
        <v>8</v>
      </c>
      <c r="N231">
        <v>6</v>
      </c>
      <c r="AM231" s="6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13282-ED59-48B5-85D4-6624AAF8AB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16</vt:i4>
      </vt:variant>
    </vt:vector>
  </HeadingPairs>
  <TitlesOfParts>
    <vt:vector size="22" baseType="lpstr">
      <vt:lpstr>Grundeinstellung</vt:lpstr>
      <vt:lpstr>opt_dropdown</vt:lpstr>
      <vt:lpstr>Tagebuch</vt:lpstr>
      <vt:lpstr>SortenTabelle</vt:lpstr>
      <vt:lpstr>Substrate_tabelle</vt:lpstr>
      <vt:lpstr>DuengerTabelle</vt:lpstr>
      <vt:lpstr>anfangs_datum</vt:lpstr>
      <vt:lpstr>bluete_verschieben_tage</vt:lpstr>
      <vt:lpstr>carbonathaerte</vt:lpstr>
      <vt:lpstr>carbonathaerte_options</vt:lpstr>
      <vt:lpstr>datum_bluete_ende</vt:lpstr>
      <vt:lpstr>datum_bluete_max</vt:lpstr>
      <vt:lpstr>datum_bluete_min</vt:lpstr>
      <vt:lpstr>datum_ernte_tag</vt:lpstr>
      <vt:lpstr>datum_lollipopping</vt:lpstr>
      <vt:lpstr>datum_only_water_begin</vt:lpstr>
      <vt:lpstr>datum_vegitations_ende</vt:lpstr>
      <vt:lpstr>Tagebuch!Drucktitel</vt:lpstr>
      <vt:lpstr>maximal_ppfd</vt:lpstr>
      <vt:lpstr>sorten_hersteller</vt:lpstr>
      <vt:lpstr>sorten_name</vt:lpstr>
      <vt:lpstr>substrat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version</dc:title>
  <dc:creator>Growcom</dc:creator>
  <cp:lastModifiedBy>Roger Gerecke</cp:lastModifiedBy>
  <cp:lastPrinted>2025-10-19T17:44:59Z</cp:lastPrinted>
  <dcterms:created xsi:type="dcterms:W3CDTF">2025-08-10T14:01:15Z</dcterms:created>
  <dcterms:modified xsi:type="dcterms:W3CDTF">2026-01-01T13:59:57Z</dcterms:modified>
</cp:coreProperties>
</file>